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alc" sheetId="1" state="hidden" r:id="rId1"/>
    <sheet xmlns:r="http://schemas.openxmlformats.org/officeDocument/2006/relationships" name="Overview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Timeline" sheetId="4" state="visible" r:id="rId4"/>
    <sheet xmlns:r="http://schemas.openxmlformats.org/officeDocument/2006/relationships" name="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7">
    <font>
      <name val="Calibri"/>
      <family val="2"/>
      <color theme="1"/>
      <sz val="11"/>
      <scheme val="minor"/>
    </font>
    <font>
      <b val="1"/>
      <color rgb="FF1F2430"/>
      <sz val="11"/>
    </font>
    <font>
      <b val="1"/>
      <color rgb="FF1F2430"/>
      <sz val="15"/>
    </font>
    <font>
      <color rgb="FF5F6675"/>
      <sz val="9"/>
    </font>
    <font>
      <b val="1"/>
      <color rgb="FF2F6FED"/>
      <sz val="20"/>
    </font>
    <font>
      <b val="1"/>
      <color rgb="FF1F2430"/>
      <sz val="20"/>
    </font>
    <font>
      <name val="Consolas"/>
      <color rgb="FF2F6FED"/>
      <sz val="8"/>
    </font>
  </fonts>
  <fills count="5">
    <fill>
      <patternFill/>
    </fill>
    <fill>
      <patternFill patternType="gray125"/>
    </fill>
    <fill>
      <patternFill patternType="solid">
        <fgColor rgb="FFEEF1F6"/>
      </patternFill>
    </fill>
    <fill>
      <patternFill patternType="solid">
        <fgColor rgb="FFF8F9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FE3EA"/>
      </left>
      <right style="thin">
        <color rgb="FFDFE3EA"/>
      </right>
      <top style="thin">
        <color rgb="FFDFE3EA"/>
      </top>
      <bottom style="thin">
        <color rgb="FFDFE3E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1" fillId="4" borderId="1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color rgb="FFFFFFFF"/>
      </font>
      <fill>
        <patternFill patternType="solid">
          <bgColor rgb="FF2F6FED"/>
        </patternFill>
      </fill>
    </dxf>
    <dxf>
      <font>
        <color rgb="FFFFFFFF"/>
      </font>
      <fill>
        <patternFill patternType="solid">
          <bgColor rgb="FFE0912F"/>
        </patternFill>
      </fill>
    </dxf>
    <dxf>
      <font>
        <color rgb="FFFFFFFF"/>
      </font>
      <fill>
        <patternFill patternType="solid">
          <bgColor rgb="FF1F9D55"/>
        </patternFill>
      </fill>
    </dxf>
    <dxf>
      <font>
        <color rgb="FFFFFFFF"/>
      </font>
      <fill>
        <patternFill patternType="solid">
          <bgColor rgb="FF9AA0A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" customWidth="1" min="4" max="4"/>
    <col width="20" customWidth="1" min="5" max="5"/>
    <col width="20" customWidth="1" min="6" max="6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Status</t>
        </is>
      </c>
      <c r="D1" s="1" t="inlineStr"/>
      <c r="E1" s="1" t="inlineStr">
        <is>
          <t>Departments</t>
        </is>
      </c>
      <c r="F1" s="1" t="inlineStr">
        <is>
          <t>Owners</t>
        </is>
      </c>
    </row>
    <row r="2">
      <c r="A2" s="2">
        <f>IF(Data!A2="","",IF(ISNUMBER(Data!C2),Data!C2,IFERROR(DATEVALUE(Data!C2),IFERROR(DATEVALUE(SUBSTITUTE(Data!C2,"-"," ")),""))))</f>
        <v/>
      </c>
      <c r="B2" s="2">
        <f>IF(Data!A2="","",IF(ISNUMBER(Data!D2),Data!D2,IFERROR(DATEVALUE(Data!D2),IFERROR(DATEVALUE(SUBSTITUTE(Data!D2,"-"," ")),""))))</f>
        <v/>
      </c>
      <c r="C2">
        <f>IF(Data!A2="","",IF(AND(A2="",B2=""),"Undated",IF(AND(A2&lt;&gt;"",TODAY()&lt;A2),"Upcoming",IF(AND(B2&lt;&gt;"",TODAY()&gt;B2),"Completed","Active"))))</f>
        <v/>
      </c>
      <c r="E2">
        <f>IFERROR(SORT(UNIQUE(FILTER(Data!F2:F1000,Data!F2:F1000&lt;&gt;""))),"")</f>
        <v/>
      </c>
      <c r="F2">
        <f>IFERROR(SORT(UNIQUE(FILTER(Data!E2:E1000,Data!E2:E1000&lt;&gt;""))),"")</f>
        <v/>
      </c>
    </row>
    <row r="3">
      <c r="A3" s="2">
        <f>IF(Data!A3="","",IF(ISNUMBER(Data!C3),Data!C3,IFERROR(DATEVALUE(Data!C3),IFERROR(DATEVALUE(SUBSTITUTE(Data!C3,"-"," ")),""))))</f>
        <v/>
      </c>
      <c r="B3" s="2">
        <f>IF(Data!A3="","",IF(ISNUMBER(Data!D3),Data!D3,IFERROR(DATEVALUE(Data!D3),IFERROR(DATEVALUE(SUBSTITUTE(Data!D3,"-"," ")),""))))</f>
        <v/>
      </c>
      <c r="C3">
        <f>IF(Data!A3="","",IF(AND(A3="",B3=""),"Undated",IF(AND(A3&lt;&gt;"",TODAY()&lt;A3),"Upcoming",IF(AND(B3&lt;&gt;"",TODAY()&gt;B3),"Completed","Active"))))</f>
        <v/>
      </c>
    </row>
    <row r="4">
      <c r="A4" s="2">
        <f>IF(Data!A4="","",IF(ISNUMBER(Data!C4),Data!C4,IFERROR(DATEVALUE(Data!C4),IFERROR(DATEVALUE(SUBSTITUTE(Data!C4,"-"," ")),""))))</f>
        <v/>
      </c>
      <c r="B4" s="2">
        <f>IF(Data!A4="","",IF(ISNUMBER(Data!D4),Data!D4,IFERROR(DATEVALUE(Data!D4),IFERROR(DATEVALUE(SUBSTITUTE(Data!D4,"-"," ")),""))))</f>
        <v/>
      </c>
      <c r="C4">
        <f>IF(Data!A4="","",IF(AND(A4="",B4=""),"Undated",IF(AND(A4&lt;&gt;"",TODAY()&lt;A4),"Upcoming",IF(AND(B4&lt;&gt;"",TODAY()&gt;B4),"Completed","Active"))))</f>
        <v/>
      </c>
    </row>
    <row r="5">
      <c r="A5" s="2">
        <f>IF(Data!A5="","",IF(ISNUMBER(Data!C5),Data!C5,IFERROR(DATEVALUE(Data!C5),IFERROR(DATEVALUE(SUBSTITUTE(Data!C5,"-"," ")),""))))</f>
        <v/>
      </c>
      <c r="B5" s="2">
        <f>IF(Data!A5="","",IF(ISNUMBER(Data!D5),Data!D5,IFERROR(DATEVALUE(Data!D5),IFERROR(DATEVALUE(SUBSTITUTE(Data!D5,"-"," ")),""))))</f>
        <v/>
      </c>
      <c r="C5">
        <f>IF(Data!A5="","",IF(AND(A5="",B5=""),"Undated",IF(AND(A5&lt;&gt;"",TODAY()&lt;A5),"Upcoming",IF(AND(B5&lt;&gt;"",TODAY()&gt;B5),"Completed","Active"))))</f>
        <v/>
      </c>
    </row>
    <row r="6">
      <c r="A6" s="2">
        <f>IF(Data!A6="","",IF(ISNUMBER(Data!C6),Data!C6,IFERROR(DATEVALUE(Data!C6),IFERROR(DATEVALUE(SUBSTITUTE(Data!C6,"-"," ")),""))))</f>
        <v/>
      </c>
      <c r="B6" s="2">
        <f>IF(Data!A6="","",IF(ISNUMBER(Data!D6),Data!D6,IFERROR(DATEVALUE(Data!D6),IFERROR(DATEVALUE(SUBSTITUTE(Data!D6,"-"," ")),""))))</f>
        <v/>
      </c>
      <c r="C6">
        <f>IF(Data!A6="","",IF(AND(A6="",B6=""),"Undated",IF(AND(A6&lt;&gt;"",TODAY()&lt;A6),"Upcoming",IF(AND(B6&lt;&gt;"",TODAY()&gt;B6),"Completed","Active"))))</f>
        <v/>
      </c>
    </row>
    <row r="7">
      <c r="A7" s="2">
        <f>IF(Data!A7="","",IF(ISNUMBER(Data!C7),Data!C7,IFERROR(DATEVALUE(Data!C7),IFERROR(DATEVALUE(SUBSTITUTE(Data!C7,"-"," ")),""))))</f>
        <v/>
      </c>
      <c r="B7" s="2">
        <f>IF(Data!A7="","",IF(ISNUMBER(Data!D7),Data!D7,IFERROR(DATEVALUE(Data!D7),IFERROR(DATEVALUE(SUBSTITUTE(Data!D7,"-"," ")),""))))</f>
        <v/>
      </c>
      <c r="C7">
        <f>IF(Data!A7="","",IF(AND(A7="",B7=""),"Undated",IF(AND(A7&lt;&gt;"",TODAY()&lt;A7),"Upcoming",IF(AND(B7&lt;&gt;"",TODAY()&gt;B7),"Completed","Active"))))</f>
        <v/>
      </c>
    </row>
    <row r="8">
      <c r="A8" s="2">
        <f>IF(Data!A8="","",IF(ISNUMBER(Data!C8),Data!C8,IFERROR(DATEVALUE(Data!C8),IFERROR(DATEVALUE(SUBSTITUTE(Data!C8,"-"," ")),""))))</f>
        <v/>
      </c>
      <c r="B8" s="2">
        <f>IF(Data!A8="","",IF(ISNUMBER(Data!D8),Data!D8,IFERROR(DATEVALUE(Data!D8),IFERROR(DATEVALUE(SUBSTITUTE(Data!D8,"-"," ")),""))))</f>
        <v/>
      </c>
      <c r="C8">
        <f>IF(Data!A8="","",IF(AND(A8="",B8=""),"Undated",IF(AND(A8&lt;&gt;"",TODAY()&lt;A8),"Upcoming",IF(AND(B8&lt;&gt;"",TODAY()&gt;B8),"Completed","Active"))))</f>
        <v/>
      </c>
    </row>
    <row r="9">
      <c r="A9" s="2">
        <f>IF(Data!A9="","",IF(ISNUMBER(Data!C9),Data!C9,IFERROR(DATEVALUE(Data!C9),IFERROR(DATEVALUE(SUBSTITUTE(Data!C9,"-"," ")),""))))</f>
        <v/>
      </c>
      <c r="B9" s="2">
        <f>IF(Data!A9="","",IF(ISNUMBER(Data!D9),Data!D9,IFERROR(DATEVALUE(Data!D9),IFERROR(DATEVALUE(SUBSTITUTE(Data!D9,"-"," ")),""))))</f>
        <v/>
      </c>
      <c r="C9">
        <f>IF(Data!A9="","",IF(AND(A9="",B9=""),"Undated",IF(AND(A9&lt;&gt;"",TODAY()&lt;A9),"Upcoming",IF(AND(B9&lt;&gt;"",TODAY()&gt;B9),"Completed","Active"))))</f>
        <v/>
      </c>
    </row>
    <row r="10">
      <c r="A10" s="2">
        <f>IF(Data!A10="","",IF(ISNUMBER(Data!C10),Data!C10,IFERROR(DATEVALUE(Data!C10),IFERROR(DATEVALUE(SUBSTITUTE(Data!C10,"-"," ")),""))))</f>
        <v/>
      </c>
      <c r="B10" s="2">
        <f>IF(Data!A10="","",IF(ISNUMBER(Data!D10),Data!D10,IFERROR(DATEVALUE(Data!D10),IFERROR(DATEVALUE(SUBSTITUTE(Data!D10,"-"," ")),""))))</f>
        <v/>
      </c>
      <c r="C10">
        <f>IF(Data!A10="","",IF(AND(A10="",B10=""),"Undated",IF(AND(A10&lt;&gt;"",TODAY()&lt;A10),"Upcoming",IF(AND(B10&lt;&gt;"",TODAY()&gt;B10),"Completed","Active"))))</f>
        <v/>
      </c>
    </row>
    <row r="11">
      <c r="A11" s="2">
        <f>IF(Data!A11="","",IF(ISNUMBER(Data!C11),Data!C11,IFERROR(DATEVALUE(Data!C11),IFERROR(DATEVALUE(SUBSTITUTE(Data!C11,"-"," ")),""))))</f>
        <v/>
      </c>
      <c r="B11" s="2">
        <f>IF(Data!A11="","",IF(ISNUMBER(Data!D11),Data!D11,IFERROR(DATEVALUE(Data!D11),IFERROR(DATEVALUE(SUBSTITUTE(Data!D11,"-"," ")),""))))</f>
        <v/>
      </c>
      <c r="C11">
        <f>IF(Data!A11="","",IF(AND(A11="",B11=""),"Undated",IF(AND(A11&lt;&gt;"",TODAY()&lt;A11),"Upcoming",IF(AND(B11&lt;&gt;"",TODAY()&gt;B11),"Completed","Active"))))</f>
        <v/>
      </c>
    </row>
    <row r="12">
      <c r="A12" s="2">
        <f>IF(Data!A12="","",IF(ISNUMBER(Data!C12),Data!C12,IFERROR(DATEVALUE(Data!C12),IFERROR(DATEVALUE(SUBSTITUTE(Data!C12,"-"," ")),""))))</f>
        <v/>
      </c>
      <c r="B12" s="2">
        <f>IF(Data!A12="","",IF(ISNUMBER(Data!D12),Data!D12,IFERROR(DATEVALUE(Data!D12),IFERROR(DATEVALUE(SUBSTITUTE(Data!D12,"-"," ")),""))))</f>
        <v/>
      </c>
      <c r="C12">
        <f>IF(Data!A12="","",IF(AND(A12="",B12=""),"Undated",IF(AND(A12&lt;&gt;"",TODAY()&lt;A12),"Upcoming",IF(AND(B12&lt;&gt;"",TODAY()&gt;B12),"Completed","Active"))))</f>
        <v/>
      </c>
    </row>
    <row r="13">
      <c r="A13" s="2">
        <f>IF(Data!A13="","",IF(ISNUMBER(Data!C13),Data!C13,IFERROR(DATEVALUE(Data!C13),IFERROR(DATEVALUE(SUBSTITUTE(Data!C13,"-"," ")),""))))</f>
        <v/>
      </c>
      <c r="B13" s="2">
        <f>IF(Data!A13="","",IF(ISNUMBER(Data!D13),Data!D13,IFERROR(DATEVALUE(Data!D13),IFERROR(DATEVALUE(SUBSTITUTE(Data!D13,"-"," ")),""))))</f>
        <v/>
      </c>
      <c r="C13">
        <f>IF(Data!A13="","",IF(AND(A13="",B13=""),"Undated",IF(AND(A13&lt;&gt;"",TODAY()&lt;A13),"Upcoming",IF(AND(B13&lt;&gt;"",TODAY()&gt;B13),"Completed","Active"))))</f>
        <v/>
      </c>
    </row>
    <row r="14">
      <c r="A14" s="2">
        <f>IF(Data!A14="","",IF(ISNUMBER(Data!C14),Data!C14,IFERROR(DATEVALUE(Data!C14),IFERROR(DATEVALUE(SUBSTITUTE(Data!C14,"-"," ")),""))))</f>
        <v/>
      </c>
      <c r="B14" s="2">
        <f>IF(Data!A14="","",IF(ISNUMBER(Data!D14),Data!D14,IFERROR(DATEVALUE(Data!D14),IFERROR(DATEVALUE(SUBSTITUTE(Data!D14,"-"," ")),""))))</f>
        <v/>
      </c>
      <c r="C14">
        <f>IF(Data!A14="","",IF(AND(A14="",B14=""),"Undated",IF(AND(A14&lt;&gt;"",TODAY()&lt;A14),"Upcoming",IF(AND(B14&lt;&gt;"",TODAY()&gt;B14),"Completed","Active"))))</f>
        <v/>
      </c>
    </row>
    <row r="15">
      <c r="A15" s="2">
        <f>IF(Data!A15="","",IF(ISNUMBER(Data!C15),Data!C15,IFERROR(DATEVALUE(Data!C15),IFERROR(DATEVALUE(SUBSTITUTE(Data!C15,"-"," ")),""))))</f>
        <v/>
      </c>
      <c r="B15" s="2">
        <f>IF(Data!A15="","",IF(ISNUMBER(Data!D15),Data!D15,IFERROR(DATEVALUE(Data!D15),IFERROR(DATEVALUE(SUBSTITUTE(Data!D15,"-"," ")),""))))</f>
        <v/>
      </c>
      <c r="C15">
        <f>IF(Data!A15="","",IF(AND(A15="",B15=""),"Undated",IF(AND(A15&lt;&gt;"",TODAY()&lt;A15),"Upcoming",IF(AND(B15&lt;&gt;"",TODAY()&gt;B15),"Completed","Active"))))</f>
        <v/>
      </c>
    </row>
    <row r="16">
      <c r="A16" s="2">
        <f>IF(Data!A16="","",IF(ISNUMBER(Data!C16),Data!C16,IFERROR(DATEVALUE(Data!C16),IFERROR(DATEVALUE(SUBSTITUTE(Data!C16,"-"," ")),""))))</f>
        <v/>
      </c>
      <c r="B16" s="2">
        <f>IF(Data!A16="","",IF(ISNUMBER(Data!D16),Data!D16,IFERROR(DATEVALUE(Data!D16),IFERROR(DATEVALUE(SUBSTITUTE(Data!D16,"-"," ")),""))))</f>
        <v/>
      </c>
      <c r="C16">
        <f>IF(Data!A16="","",IF(AND(A16="",B16=""),"Undated",IF(AND(A16&lt;&gt;"",TODAY()&lt;A16),"Upcoming",IF(AND(B16&lt;&gt;"",TODAY()&gt;B16),"Completed","Active"))))</f>
        <v/>
      </c>
    </row>
    <row r="17">
      <c r="A17" s="2">
        <f>IF(Data!A17="","",IF(ISNUMBER(Data!C17),Data!C17,IFERROR(DATEVALUE(Data!C17),IFERROR(DATEVALUE(SUBSTITUTE(Data!C17,"-"," ")),""))))</f>
        <v/>
      </c>
      <c r="B17" s="2">
        <f>IF(Data!A17="","",IF(ISNUMBER(Data!D17),Data!D17,IFERROR(DATEVALUE(Data!D17),IFERROR(DATEVALUE(SUBSTITUTE(Data!D17,"-"," ")),""))))</f>
        <v/>
      </c>
      <c r="C17">
        <f>IF(Data!A17="","",IF(AND(A17="",B17=""),"Undated",IF(AND(A17&lt;&gt;"",TODAY()&lt;A17),"Upcoming",IF(AND(B17&lt;&gt;"",TODAY()&gt;B17),"Completed","Active"))))</f>
        <v/>
      </c>
    </row>
    <row r="18">
      <c r="A18" s="2">
        <f>IF(Data!A18="","",IF(ISNUMBER(Data!C18),Data!C18,IFERROR(DATEVALUE(Data!C18),IFERROR(DATEVALUE(SUBSTITUTE(Data!C18,"-"," ")),""))))</f>
        <v/>
      </c>
      <c r="B18" s="2">
        <f>IF(Data!A18="","",IF(ISNUMBER(Data!D18),Data!D18,IFERROR(DATEVALUE(Data!D18),IFERROR(DATEVALUE(SUBSTITUTE(Data!D18,"-"," ")),""))))</f>
        <v/>
      </c>
      <c r="C18">
        <f>IF(Data!A18="","",IF(AND(A18="",B18=""),"Undated",IF(AND(A18&lt;&gt;"",TODAY()&lt;A18),"Upcoming",IF(AND(B18&lt;&gt;"",TODAY()&gt;B18),"Completed","Active"))))</f>
        <v/>
      </c>
    </row>
    <row r="19">
      <c r="A19" s="2">
        <f>IF(Data!A19="","",IF(ISNUMBER(Data!C19),Data!C19,IFERROR(DATEVALUE(Data!C19),IFERROR(DATEVALUE(SUBSTITUTE(Data!C19,"-"," ")),""))))</f>
        <v/>
      </c>
      <c r="B19" s="2">
        <f>IF(Data!A19="","",IF(ISNUMBER(Data!D19),Data!D19,IFERROR(DATEVALUE(Data!D19),IFERROR(DATEVALUE(SUBSTITUTE(Data!D19,"-"," ")),""))))</f>
        <v/>
      </c>
      <c r="C19">
        <f>IF(Data!A19="","",IF(AND(A19="",B19=""),"Undated",IF(AND(A19&lt;&gt;"",TODAY()&lt;A19),"Upcoming",IF(AND(B19&lt;&gt;"",TODAY()&gt;B19),"Completed","Active"))))</f>
        <v/>
      </c>
    </row>
    <row r="20">
      <c r="A20" s="2">
        <f>IF(Data!A20="","",IF(ISNUMBER(Data!C20),Data!C20,IFERROR(DATEVALUE(Data!C20),IFERROR(DATEVALUE(SUBSTITUTE(Data!C20,"-"," ")),""))))</f>
        <v/>
      </c>
      <c r="B20" s="2">
        <f>IF(Data!A20="","",IF(ISNUMBER(Data!D20),Data!D20,IFERROR(DATEVALUE(Data!D20),IFERROR(DATEVALUE(SUBSTITUTE(Data!D20,"-"," ")),""))))</f>
        <v/>
      </c>
      <c r="C20">
        <f>IF(Data!A20="","",IF(AND(A20="",B20=""),"Undated",IF(AND(A20&lt;&gt;"",TODAY()&lt;A20),"Upcoming",IF(AND(B20&lt;&gt;"",TODAY()&gt;B20),"Completed","Active"))))</f>
        <v/>
      </c>
    </row>
    <row r="21">
      <c r="A21" s="2">
        <f>IF(Data!A21="","",IF(ISNUMBER(Data!C21),Data!C21,IFERROR(DATEVALUE(Data!C21),IFERROR(DATEVALUE(SUBSTITUTE(Data!C21,"-"," ")),""))))</f>
        <v/>
      </c>
      <c r="B21" s="2">
        <f>IF(Data!A21="","",IF(ISNUMBER(Data!D21),Data!D21,IFERROR(DATEVALUE(Data!D21),IFERROR(DATEVALUE(SUBSTITUTE(Data!D21,"-"," ")),""))))</f>
        <v/>
      </c>
      <c r="C21">
        <f>IF(Data!A21="","",IF(AND(A21="",B21=""),"Undated",IF(AND(A21&lt;&gt;"",TODAY()&lt;A21),"Upcoming",IF(AND(B21&lt;&gt;"",TODAY()&gt;B21),"Completed","Active"))))</f>
        <v/>
      </c>
    </row>
    <row r="22">
      <c r="A22" s="2">
        <f>IF(Data!A22="","",IF(ISNUMBER(Data!C22),Data!C22,IFERROR(DATEVALUE(Data!C22),IFERROR(DATEVALUE(SUBSTITUTE(Data!C22,"-"," ")),""))))</f>
        <v/>
      </c>
      <c r="B22" s="2">
        <f>IF(Data!A22="","",IF(ISNUMBER(Data!D22),Data!D22,IFERROR(DATEVALUE(Data!D22),IFERROR(DATEVALUE(SUBSTITUTE(Data!D22,"-"," ")),""))))</f>
        <v/>
      </c>
      <c r="C22">
        <f>IF(Data!A22="","",IF(AND(A22="",B22=""),"Undated",IF(AND(A22&lt;&gt;"",TODAY()&lt;A22),"Upcoming",IF(AND(B22&lt;&gt;"",TODAY()&gt;B22),"Completed","Active"))))</f>
        <v/>
      </c>
    </row>
    <row r="23">
      <c r="A23" s="2">
        <f>IF(Data!A23="","",IF(ISNUMBER(Data!C23),Data!C23,IFERROR(DATEVALUE(Data!C23),IFERROR(DATEVALUE(SUBSTITUTE(Data!C23,"-"," ")),""))))</f>
        <v/>
      </c>
      <c r="B23" s="2">
        <f>IF(Data!A23="","",IF(ISNUMBER(Data!D23),Data!D23,IFERROR(DATEVALUE(Data!D23),IFERROR(DATEVALUE(SUBSTITUTE(Data!D23,"-"," ")),""))))</f>
        <v/>
      </c>
      <c r="C23">
        <f>IF(Data!A23="","",IF(AND(A23="",B23=""),"Undated",IF(AND(A23&lt;&gt;"",TODAY()&lt;A23),"Upcoming",IF(AND(B23&lt;&gt;"",TODAY()&gt;B23),"Completed","Active"))))</f>
        <v/>
      </c>
    </row>
    <row r="24">
      <c r="A24" s="2">
        <f>IF(Data!A24="","",IF(ISNUMBER(Data!C24),Data!C24,IFERROR(DATEVALUE(Data!C24),IFERROR(DATEVALUE(SUBSTITUTE(Data!C24,"-"," ")),""))))</f>
        <v/>
      </c>
      <c r="B24" s="2">
        <f>IF(Data!A24="","",IF(ISNUMBER(Data!D24),Data!D24,IFERROR(DATEVALUE(Data!D24),IFERROR(DATEVALUE(SUBSTITUTE(Data!D24,"-"," ")),""))))</f>
        <v/>
      </c>
      <c r="C24">
        <f>IF(Data!A24="","",IF(AND(A24="",B24=""),"Undated",IF(AND(A24&lt;&gt;"",TODAY()&lt;A24),"Upcoming",IF(AND(B24&lt;&gt;"",TODAY()&gt;B24),"Completed","Active"))))</f>
        <v/>
      </c>
    </row>
    <row r="25">
      <c r="A25" s="2">
        <f>IF(Data!A25="","",IF(ISNUMBER(Data!C25),Data!C25,IFERROR(DATEVALUE(Data!C25),IFERROR(DATEVALUE(SUBSTITUTE(Data!C25,"-"," ")),""))))</f>
        <v/>
      </c>
      <c r="B25" s="2">
        <f>IF(Data!A25="","",IF(ISNUMBER(Data!D25),Data!D25,IFERROR(DATEVALUE(Data!D25),IFERROR(DATEVALUE(SUBSTITUTE(Data!D25,"-"," ")),""))))</f>
        <v/>
      </c>
      <c r="C25">
        <f>IF(Data!A25="","",IF(AND(A25="",B25=""),"Undated",IF(AND(A25&lt;&gt;"",TODAY()&lt;A25),"Upcoming",IF(AND(B25&lt;&gt;"",TODAY()&gt;B25),"Completed","Active"))))</f>
        <v/>
      </c>
    </row>
    <row r="26">
      <c r="A26" s="2">
        <f>IF(Data!A26="","",IF(ISNUMBER(Data!C26),Data!C26,IFERROR(DATEVALUE(Data!C26),IFERROR(DATEVALUE(SUBSTITUTE(Data!C26,"-"," ")),""))))</f>
        <v/>
      </c>
      <c r="B26" s="2">
        <f>IF(Data!A26="","",IF(ISNUMBER(Data!D26),Data!D26,IFERROR(DATEVALUE(Data!D26),IFERROR(DATEVALUE(SUBSTITUTE(Data!D26,"-"," ")),""))))</f>
        <v/>
      </c>
      <c r="C26">
        <f>IF(Data!A26="","",IF(AND(A26="",B26=""),"Undated",IF(AND(A26&lt;&gt;"",TODAY()&lt;A26),"Upcoming",IF(AND(B26&lt;&gt;"",TODAY()&gt;B26),"Completed","Active"))))</f>
        <v/>
      </c>
    </row>
    <row r="27">
      <c r="A27" s="2">
        <f>IF(Data!A27="","",IF(ISNUMBER(Data!C27),Data!C27,IFERROR(DATEVALUE(Data!C27),IFERROR(DATEVALUE(SUBSTITUTE(Data!C27,"-"," ")),""))))</f>
        <v/>
      </c>
      <c r="B27" s="2">
        <f>IF(Data!A27="","",IF(ISNUMBER(Data!D27),Data!D27,IFERROR(DATEVALUE(Data!D27),IFERROR(DATEVALUE(SUBSTITUTE(Data!D27,"-"," ")),""))))</f>
        <v/>
      </c>
      <c r="C27">
        <f>IF(Data!A27="","",IF(AND(A27="",B27=""),"Undated",IF(AND(A27&lt;&gt;"",TODAY()&lt;A27),"Upcoming",IF(AND(B27&lt;&gt;"",TODAY()&gt;B27),"Completed","Active"))))</f>
        <v/>
      </c>
    </row>
    <row r="28">
      <c r="A28" s="2">
        <f>IF(Data!A28="","",IF(ISNUMBER(Data!C28),Data!C28,IFERROR(DATEVALUE(Data!C28),IFERROR(DATEVALUE(SUBSTITUTE(Data!C28,"-"," ")),""))))</f>
        <v/>
      </c>
      <c r="B28" s="2">
        <f>IF(Data!A28="","",IF(ISNUMBER(Data!D28),Data!D28,IFERROR(DATEVALUE(Data!D28),IFERROR(DATEVALUE(SUBSTITUTE(Data!D28,"-"," ")),""))))</f>
        <v/>
      </c>
      <c r="C28">
        <f>IF(Data!A28="","",IF(AND(A28="",B28=""),"Undated",IF(AND(A28&lt;&gt;"",TODAY()&lt;A28),"Upcoming",IF(AND(B28&lt;&gt;"",TODAY()&gt;B28),"Completed","Active"))))</f>
        <v/>
      </c>
    </row>
    <row r="29">
      <c r="A29" s="2">
        <f>IF(Data!A29="","",IF(ISNUMBER(Data!C29),Data!C29,IFERROR(DATEVALUE(Data!C29),IFERROR(DATEVALUE(SUBSTITUTE(Data!C29,"-"," ")),""))))</f>
        <v/>
      </c>
      <c r="B29" s="2">
        <f>IF(Data!A29="","",IF(ISNUMBER(Data!D29),Data!D29,IFERROR(DATEVALUE(Data!D29),IFERROR(DATEVALUE(SUBSTITUTE(Data!D29,"-"," ")),""))))</f>
        <v/>
      </c>
      <c r="C29">
        <f>IF(Data!A29="","",IF(AND(A29="",B29=""),"Undated",IF(AND(A29&lt;&gt;"",TODAY()&lt;A29),"Upcoming",IF(AND(B29&lt;&gt;"",TODAY()&gt;B29),"Completed","Active"))))</f>
        <v/>
      </c>
    </row>
    <row r="30">
      <c r="A30" s="2">
        <f>IF(Data!A30="","",IF(ISNUMBER(Data!C30),Data!C30,IFERROR(DATEVALUE(Data!C30),IFERROR(DATEVALUE(SUBSTITUTE(Data!C30,"-"," ")),""))))</f>
        <v/>
      </c>
      <c r="B30" s="2">
        <f>IF(Data!A30="","",IF(ISNUMBER(Data!D30),Data!D30,IFERROR(DATEVALUE(Data!D30),IFERROR(DATEVALUE(SUBSTITUTE(Data!D30,"-"," ")),""))))</f>
        <v/>
      </c>
      <c r="C30">
        <f>IF(Data!A30="","",IF(AND(A30="",B30=""),"Undated",IF(AND(A30&lt;&gt;"",TODAY()&lt;A30),"Upcoming",IF(AND(B30&lt;&gt;"",TODAY()&gt;B30),"Completed","Active"))))</f>
        <v/>
      </c>
    </row>
    <row r="31">
      <c r="A31" s="2">
        <f>IF(Data!A31="","",IF(ISNUMBER(Data!C31),Data!C31,IFERROR(DATEVALUE(Data!C31),IFERROR(DATEVALUE(SUBSTITUTE(Data!C31,"-"," ")),""))))</f>
        <v/>
      </c>
      <c r="B31" s="2">
        <f>IF(Data!A31="","",IF(ISNUMBER(Data!D31),Data!D31,IFERROR(DATEVALUE(Data!D31),IFERROR(DATEVALUE(SUBSTITUTE(Data!D31,"-"," ")),""))))</f>
        <v/>
      </c>
      <c r="C31">
        <f>IF(Data!A31="","",IF(AND(A31="",B31=""),"Undated",IF(AND(A31&lt;&gt;"",TODAY()&lt;A31),"Upcoming",IF(AND(B31&lt;&gt;"",TODAY()&gt;B31),"Completed","Active"))))</f>
        <v/>
      </c>
    </row>
    <row r="32">
      <c r="A32" s="2">
        <f>IF(Data!A32="","",IF(ISNUMBER(Data!C32),Data!C32,IFERROR(DATEVALUE(Data!C32),IFERROR(DATEVALUE(SUBSTITUTE(Data!C32,"-"," ")),""))))</f>
        <v/>
      </c>
      <c r="B32" s="2">
        <f>IF(Data!A32="","",IF(ISNUMBER(Data!D32),Data!D32,IFERROR(DATEVALUE(Data!D32),IFERROR(DATEVALUE(SUBSTITUTE(Data!D32,"-"," ")),""))))</f>
        <v/>
      </c>
      <c r="C32">
        <f>IF(Data!A32="","",IF(AND(A32="",B32=""),"Undated",IF(AND(A32&lt;&gt;"",TODAY()&lt;A32),"Upcoming",IF(AND(B32&lt;&gt;"",TODAY()&gt;B32),"Completed","Active"))))</f>
        <v/>
      </c>
    </row>
    <row r="33">
      <c r="A33" s="2">
        <f>IF(Data!A33="","",IF(ISNUMBER(Data!C33),Data!C33,IFERROR(DATEVALUE(Data!C33),IFERROR(DATEVALUE(SUBSTITUTE(Data!C33,"-"," ")),""))))</f>
        <v/>
      </c>
      <c r="B33" s="2">
        <f>IF(Data!A33="","",IF(ISNUMBER(Data!D33),Data!D33,IFERROR(DATEVALUE(Data!D33),IFERROR(DATEVALUE(SUBSTITUTE(Data!D33,"-"," ")),""))))</f>
        <v/>
      </c>
      <c r="C33">
        <f>IF(Data!A33="","",IF(AND(A33="",B33=""),"Undated",IF(AND(A33&lt;&gt;"",TODAY()&lt;A33),"Upcoming",IF(AND(B33&lt;&gt;"",TODAY()&gt;B33),"Completed","Active"))))</f>
        <v/>
      </c>
    </row>
    <row r="34">
      <c r="A34" s="2">
        <f>IF(Data!A34="","",IF(ISNUMBER(Data!C34),Data!C34,IFERROR(DATEVALUE(Data!C34),IFERROR(DATEVALUE(SUBSTITUTE(Data!C34,"-"," ")),""))))</f>
        <v/>
      </c>
      <c r="B34" s="2">
        <f>IF(Data!A34="","",IF(ISNUMBER(Data!D34),Data!D34,IFERROR(DATEVALUE(Data!D34),IFERROR(DATEVALUE(SUBSTITUTE(Data!D34,"-"," ")),""))))</f>
        <v/>
      </c>
      <c r="C34">
        <f>IF(Data!A34="","",IF(AND(A34="",B34=""),"Undated",IF(AND(A34&lt;&gt;"",TODAY()&lt;A34),"Upcoming",IF(AND(B34&lt;&gt;"",TODAY()&gt;B34),"Completed","Active"))))</f>
        <v/>
      </c>
    </row>
    <row r="35">
      <c r="A35" s="2">
        <f>IF(Data!A35="","",IF(ISNUMBER(Data!C35),Data!C35,IFERROR(DATEVALUE(Data!C35),IFERROR(DATEVALUE(SUBSTITUTE(Data!C35,"-"," ")),""))))</f>
        <v/>
      </c>
      <c r="B35" s="2">
        <f>IF(Data!A35="","",IF(ISNUMBER(Data!D35),Data!D35,IFERROR(DATEVALUE(Data!D35),IFERROR(DATEVALUE(SUBSTITUTE(Data!D35,"-"," ")),""))))</f>
        <v/>
      </c>
      <c r="C35">
        <f>IF(Data!A35="","",IF(AND(A35="",B35=""),"Undated",IF(AND(A35&lt;&gt;"",TODAY()&lt;A35),"Upcoming",IF(AND(B35&lt;&gt;"",TODAY()&gt;B35),"Completed","Active"))))</f>
        <v/>
      </c>
    </row>
    <row r="36">
      <c r="A36" s="2">
        <f>IF(Data!A36="","",IF(ISNUMBER(Data!C36),Data!C36,IFERROR(DATEVALUE(Data!C36),IFERROR(DATEVALUE(SUBSTITUTE(Data!C36,"-"," ")),""))))</f>
        <v/>
      </c>
      <c r="B36" s="2">
        <f>IF(Data!A36="","",IF(ISNUMBER(Data!D36),Data!D36,IFERROR(DATEVALUE(Data!D36),IFERROR(DATEVALUE(SUBSTITUTE(Data!D36,"-"," ")),""))))</f>
        <v/>
      </c>
      <c r="C36">
        <f>IF(Data!A36="","",IF(AND(A36="",B36=""),"Undated",IF(AND(A36&lt;&gt;"",TODAY()&lt;A36),"Upcoming",IF(AND(B36&lt;&gt;"",TODAY()&gt;B36),"Completed","Active"))))</f>
        <v/>
      </c>
    </row>
    <row r="37">
      <c r="A37" s="2">
        <f>IF(Data!A37="","",IF(ISNUMBER(Data!C37),Data!C37,IFERROR(DATEVALUE(Data!C37),IFERROR(DATEVALUE(SUBSTITUTE(Data!C37,"-"," ")),""))))</f>
        <v/>
      </c>
      <c r="B37" s="2">
        <f>IF(Data!A37="","",IF(ISNUMBER(Data!D37),Data!D37,IFERROR(DATEVALUE(Data!D37),IFERROR(DATEVALUE(SUBSTITUTE(Data!D37,"-"," ")),""))))</f>
        <v/>
      </c>
      <c r="C37">
        <f>IF(Data!A37="","",IF(AND(A37="",B37=""),"Undated",IF(AND(A37&lt;&gt;"",TODAY()&lt;A37),"Upcoming",IF(AND(B37&lt;&gt;"",TODAY()&gt;B37),"Completed","Active"))))</f>
        <v/>
      </c>
    </row>
    <row r="38">
      <c r="A38" s="2">
        <f>IF(Data!A38="","",IF(ISNUMBER(Data!C38),Data!C38,IFERROR(DATEVALUE(Data!C38),IFERROR(DATEVALUE(SUBSTITUTE(Data!C38,"-"," ")),""))))</f>
        <v/>
      </c>
      <c r="B38" s="2">
        <f>IF(Data!A38="","",IF(ISNUMBER(Data!D38),Data!D38,IFERROR(DATEVALUE(Data!D38),IFERROR(DATEVALUE(SUBSTITUTE(Data!D38,"-"," ")),""))))</f>
        <v/>
      </c>
      <c r="C38">
        <f>IF(Data!A38="","",IF(AND(A38="",B38=""),"Undated",IF(AND(A38&lt;&gt;"",TODAY()&lt;A38),"Upcoming",IF(AND(B38&lt;&gt;"",TODAY()&gt;B38),"Completed","Active"))))</f>
        <v/>
      </c>
    </row>
    <row r="39">
      <c r="A39" s="2">
        <f>IF(Data!A39="","",IF(ISNUMBER(Data!C39),Data!C39,IFERROR(DATEVALUE(Data!C39),IFERROR(DATEVALUE(SUBSTITUTE(Data!C39,"-"," ")),""))))</f>
        <v/>
      </c>
      <c r="B39" s="2">
        <f>IF(Data!A39="","",IF(ISNUMBER(Data!D39),Data!D39,IFERROR(DATEVALUE(Data!D39),IFERROR(DATEVALUE(SUBSTITUTE(Data!D39,"-"," ")),""))))</f>
        <v/>
      </c>
      <c r="C39">
        <f>IF(Data!A39="","",IF(AND(A39="",B39=""),"Undated",IF(AND(A39&lt;&gt;"",TODAY()&lt;A39),"Upcoming",IF(AND(B39&lt;&gt;"",TODAY()&gt;B39),"Completed","Active"))))</f>
        <v/>
      </c>
    </row>
    <row r="40">
      <c r="A40" s="2">
        <f>IF(Data!A40="","",IF(ISNUMBER(Data!C40),Data!C40,IFERROR(DATEVALUE(Data!C40),IFERROR(DATEVALUE(SUBSTITUTE(Data!C40,"-"," ")),""))))</f>
        <v/>
      </c>
      <c r="B40" s="2">
        <f>IF(Data!A40="","",IF(ISNUMBER(Data!D40),Data!D40,IFERROR(DATEVALUE(Data!D40),IFERROR(DATEVALUE(SUBSTITUTE(Data!D40,"-"," ")),""))))</f>
        <v/>
      </c>
      <c r="C40">
        <f>IF(Data!A40="","",IF(AND(A40="",B40=""),"Undated",IF(AND(A40&lt;&gt;"",TODAY()&lt;A40),"Upcoming",IF(AND(B40&lt;&gt;"",TODAY()&gt;B40),"Completed","Active"))))</f>
        <v/>
      </c>
    </row>
    <row r="41">
      <c r="A41" s="2">
        <f>IF(Data!A41="","",IF(ISNUMBER(Data!C41),Data!C41,IFERROR(DATEVALUE(Data!C41),IFERROR(DATEVALUE(SUBSTITUTE(Data!C41,"-"," ")),""))))</f>
        <v/>
      </c>
      <c r="B41" s="2">
        <f>IF(Data!A41="","",IF(ISNUMBER(Data!D41),Data!D41,IFERROR(DATEVALUE(Data!D41),IFERROR(DATEVALUE(SUBSTITUTE(Data!D41,"-"," ")),""))))</f>
        <v/>
      </c>
      <c r="C41">
        <f>IF(Data!A41="","",IF(AND(A41="",B41=""),"Undated",IF(AND(A41&lt;&gt;"",TODAY()&lt;A41),"Upcoming",IF(AND(B41&lt;&gt;"",TODAY()&gt;B41),"Completed","Active"))))</f>
        <v/>
      </c>
    </row>
    <row r="42">
      <c r="A42" s="2">
        <f>IF(Data!A42="","",IF(ISNUMBER(Data!C42),Data!C42,IFERROR(DATEVALUE(Data!C42),IFERROR(DATEVALUE(SUBSTITUTE(Data!C42,"-"," ")),""))))</f>
        <v/>
      </c>
      <c r="B42" s="2">
        <f>IF(Data!A42="","",IF(ISNUMBER(Data!D42),Data!D42,IFERROR(DATEVALUE(Data!D42),IFERROR(DATEVALUE(SUBSTITUTE(Data!D42,"-"," ")),""))))</f>
        <v/>
      </c>
      <c r="C42">
        <f>IF(Data!A42="","",IF(AND(A42="",B42=""),"Undated",IF(AND(A42&lt;&gt;"",TODAY()&lt;A42),"Upcoming",IF(AND(B42&lt;&gt;"",TODAY()&gt;B42),"Completed","Active"))))</f>
        <v/>
      </c>
    </row>
    <row r="43">
      <c r="A43" s="2">
        <f>IF(Data!A43="","",IF(ISNUMBER(Data!C43),Data!C43,IFERROR(DATEVALUE(Data!C43),IFERROR(DATEVALUE(SUBSTITUTE(Data!C43,"-"," ")),""))))</f>
        <v/>
      </c>
      <c r="B43" s="2">
        <f>IF(Data!A43="","",IF(ISNUMBER(Data!D43),Data!D43,IFERROR(DATEVALUE(Data!D43),IFERROR(DATEVALUE(SUBSTITUTE(Data!D43,"-"," ")),""))))</f>
        <v/>
      </c>
      <c r="C43">
        <f>IF(Data!A43="","",IF(AND(A43="",B43=""),"Undated",IF(AND(A43&lt;&gt;"",TODAY()&lt;A43),"Upcoming",IF(AND(B43&lt;&gt;"",TODAY()&gt;B43),"Completed","Active"))))</f>
        <v/>
      </c>
    </row>
    <row r="44">
      <c r="A44" s="2">
        <f>IF(Data!A44="","",IF(ISNUMBER(Data!C44),Data!C44,IFERROR(DATEVALUE(Data!C44),IFERROR(DATEVALUE(SUBSTITUTE(Data!C44,"-"," ")),""))))</f>
        <v/>
      </c>
      <c r="B44" s="2">
        <f>IF(Data!A44="","",IF(ISNUMBER(Data!D44),Data!D44,IFERROR(DATEVALUE(Data!D44),IFERROR(DATEVALUE(SUBSTITUTE(Data!D44,"-"," ")),""))))</f>
        <v/>
      </c>
      <c r="C44">
        <f>IF(Data!A44="","",IF(AND(A44="",B44=""),"Undated",IF(AND(A44&lt;&gt;"",TODAY()&lt;A44),"Upcoming",IF(AND(B44&lt;&gt;"",TODAY()&gt;B44),"Completed","Active"))))</f>
        <v/>
      </c>
    </row>
    <row r="45">
      <c r="A45" s="2">
        <f>IF(Data!A45="","",IF(ISNUMBER(Data!C45),Data!C45,IFERROR(DATEVALUE(Data!C45),IFERROR(DATEVALUE(SUBSTITUTE(Data!C45,"-"," ")),""))))</f>
        <v/>
      </c>
      <c r="B45" s="2">
        <f>IF(Data!A45="","",IF(ISNUMBER(Data!D45),Data!D45,IFERROR(DATEVALUE(Data!D45),IFERROR(DATEVALUE(SUBSTITUTE(Data!D45,"-"," ")),""))))</f>
        <v/>
      </c>
      <c r="C45">
        <f>IF(Data!A45="","",IF(AND(A45="",B45=""),"Undated",IF(AND(A45&lt;&gt;"",TODAY()&lt;A45),"Upcoming",IF(AND(B45&lt;&gt;"",TODAY()&gt;B45),"Completed","Active"))))</f>
        <v/>
      </c>
    </row>
    <row r="46">
      <c r="A46" s="2">
        <f>IF(Data!A46="","",IF(ISNUMBER(Data!C46),Data!C46,IFERROR(DATEVALUE(Data!C46),IFERROR(DATEVALUE(SUBSTITUTE(Data!C46,"-"," ")),""))))</f>
        <v/>
      </c>
      <c r="B46" s="2">
        <f>IF(Data!A46="","",IF(ISNUMBER(Data!D46),Data!D46,IFERROR(DATEVALUE(Data!D46),IFERROR(DATEVALUE(SUBSTITUTE(Data!D46,"-"," ")),""))))</f>
        <v/>
      </c>
      <c r="C46">
        <f>IF(Data!A46="","",IF(AND(A46="",B46=""),"Undated",IF(AND(A46&lt;&gt;"",TODAY()&lt;A46),"Upcoming",IF(AND(B46&lt;&gt;"",TODAY()&gt;B46),"Completed","Active"))))</f>
        <v/>
      </c>
    </row>
    <row r="47">
      <c r="A47" s="2">
        <f>IF(Data!A47="","",IF(ISNUMBER(Data!C47),Data!C47,IFERROR(DATEVALUE(Data!C47),IFERROR(DATEVALUE(SUBSTITUTE(Data!C47,"-"," ")),""))))</f>
        <v/>
      </c>
      <c r="B47" s="2">
        <f>IF(Data!A47="","",IF(ISNUMBER(Data!D47),Data!D47,IFERROR(DATEVALUE(Data!D47),IFERROR(DATEVALUE(SUBSTITUTE(Data!D47,"-"," ")),""))))</f>
        <v/>
      </c>
      <c r="C47">
        <f>IF(Data!A47="","",IF(AND(A47="",B47=""),"Undated",IF(AND(A47&lt;&gt;"",TODAY()&lt;A47),"Upcoming",IF(AND(B47&lt;&gt;"",TODAY()&gt;B47),"Completed","Active"))))</f>
        <v/>
      </c>
    </row>
    <row r="48">
      <c r="A48" s="2">
        <f>IF(Data!A48="","",IF(ISNUMBER(Data!C48),Data!C48,IFERROR(DATEVALUE(Data!C48),IFERROR(DATEVALUE(SUBSTITUTE(Data!C48,"-"," ")),""))))</f>
        <v/>
      </c>
      <c r="B48" s="2">
        <f>IF(Data!A48="","",IF(ISNUMBER(Data!D48),Data!D48,IFERROR(DATEVALUE(Data!D48),IFERROR(DATEVALUE(SUBSTITUTE(Data!D48,"-"," ")),""))))</f>
        <v/>
      </c>
      <c r="C48">
        <f>IF(Data!A48="","",IF(AND(A48="",B48=""),"Undated",IF(AND(A48&lt;&gt;"",TODAY()&lt;A48),"Upcoming",IF(AND(B48&lt;&gt;"",TODAY()&gt;B48),"Completed","Active"))))</f>
        <v/>
      </c>
    </row>
    <row r="49">
      <c r="A49" s="2">
        <f>IF(Data!A49="","",IF(ISNUMBER(Data!C49),Data!C49,IFERROR(DATEVALUE(Data!C49),IFERROR(DATEVALUE(SUBSTITUTE(Data!C49,"-"," ")),""))))</f>
        <v/>
      </c>
      <c r="B49" s="2">
        <f>IF(Data!A49="","",IF(ISNUMBER(Data!D49),Data!D49,IFERROR(DATEVALUE(Data!D49),IFERROR(DATEVALUE(SUBSTITUTE(Data!D49,"-"," ")),""))))</f>
        <v/>
      </c>
      <c r="C49">
        <f>IF(Data!A49="","",IF(AND(A49="",B49=""),"Undated",IF(AND(A49&lt;&gt;"",TODAY()&lt;A49),"Upcoming",IF(AND(B49&lt;&gt;"",TODAY()&gt;B49),"Completed","Active"))))</f>
        <v/>
      </c>
    </row>
    <row r="50">
      <c r="A50" s="2">
        <f>IF(Data!A50="","",IF(ISNUMBER(Data!C50),Data!C50,IFERROR(DATEVALUE(Data!C50),IFERROR(DATEVALUE(SUBSTITUTE(Data!C50,"-"," ")),""))))</f>
        <v/>
      </c>
      <c r="B50" s="2">
        <f>IF(Data!A50="","",IF(ISNUMBER(Data!D50),Data!D50,IFERROR(DATEVALUE(Data!D50),IFERROR(DATEVALUE(SUBSTITUTE(Data!D50,"-"," ")),""))))</f>
        <v/>
      </c>
      <c r="C50">
        <f>IF(Data!A50="","",IF(AND(A50="",B50=""),"Undated",IF(AND(A50&lt;&gt;"",TODAY()&lt;A50),"Upcoming",IF(AND(B50&lt;&gt;"",TODAY()&gt;B50),"Completed","Active"))))</f>
        <v/>
      </c>
    </row>
    <row r="51">
      <c r="A51" s="2">
        <f>IF(Data!A51="","",IF(ISNUMBER(Data!C51),Data!C51,IFERROR(DATEVALUE(Data!C51),IFERROR(DATEVALUE(SUBSTITUTE(Data!C51,"-"," ")),""))))</f>
        <v/>
      </c>
      <c r="B51" s="2">
        <f>IF(Data!A51="","",IF(ISNUMBER(Data!D51),Data!D51,IFERROR(DATEVALUE(Data!D51),IFERROR(DATEVALUE(SUBSTITUTE(Data!D51,"-"," ")),""))))</f>
        <v/>
      </c>
      <c r="C51">
        <f>IF(Data!A51="","",IF(AND(A51="",B51=""),"Undated",IF(AND(A51&lt;&gt;"",TODAY()&lt;A51),"Upcoming",IF(AND(B51&lt;&gt;"",TODAY()&gt;B51),"Completed","Active"))))</f>
        <v/>
      </c>
    </row>
    <row r="52">
      <c r="A52" s="2">
        <f>IF(Data!A52="","",IF(ISNUMBER(Data!C52),Data!C52,IFERROR(DATEVALUE(Data!C52),IFERROR(DATEVALUE(SUBSTITUTE(Data!C52,"-"," ")),""))))</f>
        <v/>
      </c>
      <c r="B52" s="2">
        <f>IF(Data!A52="","",IF(ISNUMBER(Data!D52),Data!D52,IFERROR(DATEVALUE(Data!D52),IFERROR(DATEVALUE(SUBSTITUTE(Data!D52,"-"," ")),""))))</f>
        <v/>
      </c>
      <c r="C52">
        <f>IF(Data!A52="","",IF(AND(A52="",B52=""),"Undated",IF(AND(A52&lt;&gt;"",TODAY()&lt;A52),"Upcoming",IF(AND(B52&lt;&gt;"",TODAY()&gt;B52),"Completed","Active"))))</f>
        <v/>
      </c>
    </row>
    <row r="53">
      <c r="A53" s="2">
        <f>IF(Data!A53="","",IF(ISNUMBER(Data!C53),Data!C53,IFERROR(DATEVALUE(Data!C53),IFERROR(DATEVALUE(SUBSTITUTE(Data!C53,"-"," ")),""))))</f>
        <v/>
      </c>
      <c r="B53" s="2">
        <f>IF(Data!A53="","",IF(ISNUMBER(Data!D53),Data!D53,IFERROR(DATEVALUE(Data!D53),IFERROR(DATEVALUE(SUBSTITUTE(Data!D53,"-"," ")),""))))</f>
        <v/>
      </c>
      <c r="C53">
        <f>IF(Data!A53="","",IF(AND(A53="",B53=""),"Undated",IF(AND(A53&lt;&gt;"",TODAY()&lt;A53),"Upcoming",IF(AND(B53&lt;&gt;"",TODAY()&gt;B53),"Completed","Active"))))</f>
        <v/>
      </c>
    </row>
    <row r="54">
      <c r="A54" s="2">
        <f>IF(Data!A54="","",IF(ISNUMBER(Data!C54),Data!C54,IFERROR(DATEVALUE(Data!C54),IFERROR(DATEVALUE(SUBSTITUTE(Data!C54,"-"," ")),""))))</f>
        <v/>
      </c>
      <c r="B54" s="2">
        <f>IF(Data!A54="","",IF(ISNUMBER(Data!D54),Data!D54,IFERROR(DATEVALUE(Data!D54),IFERROR(DATEVALUE(SUBSTITUTE(Data!D54,"-"," ")),""))))</f>
        <v/>
      </c>
      <c r="C54">
        <f>IF(Data!A54="","",IF(AND(A54="",B54=""),"Undated",IF(AND(A54&lt;&gt;"",TODAY()&lt;A54),"Upcoming",IF(AND(B54&lt;&gt;"",TODAY()&gt;B54),"Completed","Active"))))</f>
        <v/>
      </c>
    </row>
    <row r="55">
      <c r="A55" s="2">
        <f>IF(Data!A55="","",IF(ISNUMBER(Data!C55),Data!C55,IFERROR(DATEVALUE(Data!C55),IFERROR(DATEVALUE(SUBSTITUTE(Data!C55,"-"," ")),""))))</f>
        <v/>
      </c>
      <c r="B55" s="2">
        <f>IF(Data!A55="","",IF(ISNUMBER(Data!D55),Data!D55,IFERROR(DATEVALUE(Data!D55),IFERROR(DATEVALUE(SUBSTITUTE(Data!D55,"-"," ")),""))))</f>
        <v/>
      </c>
      <c r="C55">
        <f>IF(Data!A55="","",IF(AND(A55="",B55=""),"Undated",IF(AND(A55&lt;&gt;"",TODAY()&lt;A55),"Upcoming",IF(AND(B55&lt;&gt;"",TODAY()&gt;B55),"Completed","Active"))))</f>
        <v/>
      </c>
    </row>
    <row r="56">
      <c r="A56" s="2">
        <f>IF(Data!A56="","",IF(ISNUMBER(Data!C56),Data!C56,IFERROR(DATEVALUE(Data!C56),IFERROR(DATEVALUE(SUBSTITUTE(Data!C56,"-"," ")),""))))</f>
        <v/>
      </c>
      <c r="B56" s="2">
        <f>IF(Data!A56="","",IF(ISNUMBER(Data!D56),Data!D56,IFERROR(DATEVALUE(Data!D56),IFERROR(DATEVALUE(SUBSTITUTE(Data!D56,"-"," ")),""))))</f>
        <v/>
      </c>
      <c r="C56">
        <f>IF(Data!A56="","",IF(AND(A56="",B56=""),"Undated",IF(AND(A56&lt;&gt;"",TODAY()&lt;A56),"Upcoming",IF(AND(B56&lt;&gt;"",TODAY()&gt;B56),"Completed","Active"))))</f>
        <v/>
      </c>
    </row>
    <row r="57">
      <c r="A57" s="2">
        <f>IF(Data!A57="","",IF(ISNUMBER(Data!C57),Data!C57,IFERROR(DATEVALUE(Data!C57),IFERROR(DATEVALUE(SUBSTITUTE(Data!C57,"-"," ")),""))))</f>
        <v/>
      </c>
      <c r="B57" s="2">
        <f>IF(Data!A57="","",IF(ISNUMBER(Data!D57),Data!D57,IFERROR(DATEVALUE(Data!D57),IFERROR(DATEVALUE(SUBSTITUTE(Data!D57,"-"," ")),""))))</f>
        <v/>
      </c>
      <c r="C57">
        <f>IF(Data!A57="","",IF(AND(A57="",B57=""),"Undated",IF(AND(A57&lt;&gt;"",TODAY()&lt;A57),"Upcoming",IF(AND(B57&lt;&gt;"",TODAY()&gt;B57),"Completed","Active"))))</f>
        <v/>
      </c>
    </row>
    <row r="58">
      <c r="A58" s="2">
        <f>IF(Data!A58="","",IF(ISNUMBER(Data!C58),Data!C58,IFERROR(DATEVALUE(Data!C58),IFERROR(DATEVALUE(SUBSTITUTE(Data!C58,"-"," ")),""))))</f>
        <v/>
      </c>
      <c r="B58" s="2">
        <f>IF(Data!A58="","",IF(ISNUMBER(Data!D58),Data!D58,IFERROR(DATEVALUE(Data!D58),IFERROR(DATEVALUE(SUBSTITUTE(Data!D58,"-"," ")),""))))</f>
        <v/>
      </c>
      <c r="C58">
        <f>IF(Data!A58="","",IF(AND(A58="",B58=""),"Undated",IF(AND(A58&lt;&gt;"",TODAY()&lt;A58),"Upcoming",IF(AND(B58&lt;&gt;"",TODAY()&gt;B58),"Completed","Active"))))</f>
        <v/>
      </c>
    </row>
    <row r="59">
      <c r="A59" s="2">
        <f>IF(Data!A59="","",IF(ISNUMBER(Data!C59),Data!C59,IFERROR(DATEVALUE(Data!C59),IFERROR(DATEVALUE(SUBSTITUTE(Data!C59,"-"," ")),""))))</f>
        <v/>
      </c>
      <c r="B59" s="2">
        <f>IF(Data!A59="","",IF(ISNUMBER(Data!D59),Data!D59,IFERROR(DATEVALUE(Data!D59),IFERROR(DATEVALUE(SUBSTITUTE(Data!D59,"-"," ")),""))))</f>
        <v/>
      </c>
      <c r="C59">
        <f>IF(Data!A59="","",IF(AND(A59="",B59=""),"Undated",IF(AND(A59&lt;&gt;"",TODAY()&lt;A59),"Upcoming",IF(AND(B59&lt;&gt;"",TODAY()&gt;B59),"Completed","Active"))))</f>
        <v/>
      </c>
    </row>
    <row r="60">
      <c r="A60" s="2">
        <f>IF(Data!A60="","",IF(ISNUMBER(Data!C60),Data!C60,IFERROR(DATEVALUE(Data!C60),IFERROR(DATEVALUE(SUBSTITUTE(Data!C60,"-"," ")),""))))</f>
        <v/>
      </c>
      <c r="B60" s="2">
        <f>IF(Data!A60="","",IF(ISNUMBER(Data!D60),Data!D60,IFERROR(DATEVALUE(Data!D60),IFERROR(DATEVALUE(SUBSTITUTE(Data!D60,"-"," ")),""))))</f>
        <v/>
      </c>
      <c r="C60">
        <f>IF(Data!A60="","",IF(AND(A60="",B60=""),"Undated",IF(AND(A60&lt;&gt;"",TODAY()&lt;A60),"Upcoming",IF(AND(B60&lt;&gt;"",TODAY()&gt;B60),"Completed","Active"))))</f>
        <v/>
      </c>
    </row>
    <row r="61">
      <c r="A61" s="2">
        <f>IF(Data!A61="","",IF(ISNUMBER(Data!C61),Data!C61,IFERROR(DATEVALUE(Data!C61),IFERROR(DATEVALUE(SUBSTITUTE(Data!C61,"-"," ")),""))))</f>
        <v/>
      </c>
      <c r="B61" s="2">
        <f>IF(Data!A61="","",IF(ISNUMBER(Data!D61),Data!D61,IFERROR(DATEVALUE(Data!D61),IFERROR(DATEVALUE(SUBSTITUTE(Data!D61,"-"," ")),""))))</f>
        <v/>
      </c>
      <c r="C61">
        <f>IF(Data!A61="","",IF(AND(A61="",B61=""),"Undated",IF(AND(A61&lt;&gt;"",TODAY()&lt;A61),"Upcoming",IF(AND(B61&lt;&gt;"",TODAY()&gt;B61),"Completed","Active"))))</f>
        <v/>
      </c>
    </row>
    <row r="62">
      <c r="A62" s="2">
        <f>IF(Data!A62="","",IF(ISNUMBER(Data!C62),Data!C62,IFERROR(DATEVALUE(Data!C62),IFERROR(DATEVALUE(SUBSTITUTE(Data!C62,"-"," ")),""))))</f>
        <v/>
      </c>
      <c r="B62" s="2">
        <f>IF(Data!A62="","",IF(ISNUMBER(Data!D62),Data!D62,IFERROR(DATEVALUE(Data!D62),IFERROR(DATEVALUE(SUBSTITUTE(Data!D62,"-"," ")),""))))</f>
        <v/>
      </c>
      <c r="C62">
        <f>IF(Data!A62="","",IF(AND(A62="",B62=""),"Undated",IF(AND(A62&lt;&gt;"",TODAY()&lt;A62),"Upcoming",IF(AND(B62&lt;&gt;"",TODAY()&gt;B62),"Completed","Active"))))</f>
        <v/>
      </c>
    </row>
    <row r="63">
      <c r="A63" s="2">
        <f>IF(Data!A63="","",IF(ISNUMBER(Data!C63),Data!C63,IFERROR(DATEVALUE(Data!C63),IFERROR(DATEVALUE(SUBSTITUTE(Data!C63,"-"," ")),""))))</f>
        <v/>
      </c>
      <c r="B63" s="2">
        <f>IF(Data!A63="","",IF(ISNUMBER(Data!D63),Data!D63,IFERROR(DATEVALUE(Data!D63),IFERROR(DATEVALUE(SUBSTITUTE(Data!D63,"-"," ")),""))))</f>
        <v/>
      </c>
      <c r="C63">
        <f>IF(Data!A63="","",IF(AND(A63="",B63=""),"Undated",IF(AND(A63&lt;&gt;"",TODAY()&lt;A63),"Upcoming",IF(AND(B63&lt;&gt;"",TODAY()&gt;B63),"Completed","Active"))))</f>
        <v/>
      </c>
    </row>
    <row r="64">
      <c r="A64" s="2">
        <f>IF(Data!A64="","",IF(ISNUMBER(Data!C64),Data!C64,IFERROR(DATEVALUE(Data!C64),IFERROR(DATEVALUE(SUBSTITUTE(Data!C64,"-"," ")),""))))</f>
        <v/>
      </c>
      <c r="B64" s="2">
        <f>IF(Data!A64="","",IF(ISNUMBER(Data!D64),Data!D64,IFERROR(DATEVALUE(Data!D64),IFERROR(DATEVALUE(SUBSTITUTE(Data!D64,"-"," ")),""))))</f>
        <v/>
      </c>
      <c r="C64">
        <f>IF(Data!A64="","",IF(AND(A64="",B64=""),"Undated",IF(AND(A64&lt;&gt;"",TODAY()&lt;A64),"Upcoming",IF(AND(B64&lt;&gt;"",TODAY()&gt;B64),"Completed","Active"))))</f>
        <v/>
      </c>
    </row>
    <row r="65">
      <c r="A65" s="2">
        <f>IF(Data!A65="","",IF(ISNUMBER(Data!C65),Data!C65,IFERROR(DATEVALUE(Data!C65),IFERROR(DATEVALUE(SUBSTITUTE(Data!C65,"-"," ")),""))))</f>
        <v/>
      </c>
      <c r="B65" s="2">
        <f>IF(Data!A65="","",IF(ISNUMBER(Data!D65),Data!D65,IFERROR(DATEVALUE(Data!D65),IFERROR(DATEVALUE(SUBSTITUTE(Data!D65,"-"," ")),""))))</f>
        <v/>
      </c>
      <c r="C65">
        <f>IF(Data!A65="","",IF(AND(A65="",B65=""),"Undated",IF(AND(A65&lt;&gt;"",TODAY()&lt;A65),"Upcoming",IF(AND(B65&lt;&gt;"",TODAY()&gt;B65),"Completed","Active"))))</f>
        <v/>
      </c>
    </row>
    <row r="66">
      <c r="A66" s="2">
        <f>IF(Data!A66="","",IF(ISNUMBER(Data!C66),Data!C66,IFERROR(DATEVALUE(Data!C66),IFERROR(DATEVALUE(SUBSTITUTE(Data!C66,"-"," ")),""))))</f>
        <v/>
      </c>
      <c r="B66" s="2">
        <f>IF(Data!A66="","",IF(ISNUMBER(Data!D66),Data!D66,IFERROR(DATEVALUE(Data!D66),IFERROR(DATEVALUE(SUBSTITUTE(Data!D66,"-"," ")),""))))</f>
        <v/>
      </c>
      <c r="C66">
        <f>IF(Data!A66="","",IF(AND(A66="",B66=""),"Undated",IF(AND(A66&lt;&gt;"",TODAY()&lt;A66),"Upcoming",IF(AND(B66&lt;&gt;"",TODAY()&gt;B66),"Completed","Active"))))</f>
        <v/>
      </c>
    </row>
    <row r="67">
      <c r="A67" s="2">
        <f>IF(Data!A67="","",IF(ISNUMBER(Data!C67),Data!C67,IFERROR(DATEVALUE(Data!C67),IFERROR(DATEVALUE(SUBSTITUTE(Data!C67,"-"," ")),""))))</f>
        <v/>
      </c>
      <c r="B67" s="2">
        <f>IF(Data!A67="","",IF(ISNUMBER(Data!D67),Data!D67,IFERROR(DATEVALUE(Data!D67),IFERROR(DATEVALUE(SUBSTITUTE(Data!D67,"-"," ")),""))))</f>
        <v/>
      </c>
      <c r="C67">
        <f>IF(Data!A67="","",IF(AND(A67="",B67=""),"Undated",IF(AND(A67&lt;&gt;"",TODAY()&lt;A67),"Upcoming",IF(AND(B67&lt;&gt;"",TODAY()&gt;B67),"Completed","Active"))))</f>
        <v/>
      </c>
    </row>
    <row r="68">
      <c r="A68" s="2">
        <f>IF(Data!A68="","",IF(ISNUMBER(Data!C68),Data!C68,IFERROR(DATEVALUE(Data!C68),IFERROR(DATEVALUE(SUBSTITUTE(Data!C68,"-"," ")),""))))</f>
        <v/>
      </c>
      <c r="B68" s="2">
        <f>IF(Data!A68="","",IF(ISNUMBER(Data!D68),Data!D68,IFERROR(DATEVALUE(Data!D68),IFERROR(DATEVALUE(SUBSTITUTE(Data!D68,"-"," ")),""))))</f>
        <v/>
      </c>
      <c r="C68">
        <f>IF(Data!A68="","",IF(AND(A68="",B68=""),"Undated",IF(AND(A68&lt;&gt;"",TODAY()&lt;A68),"Upcoming",IF(AND(B68&lt;&gt;"",TODAY()&gt;B68),"Completed","Active"))))</f>
        <v/>
      </c>
    </row>
    <row r="69">
      <c r="A69" s="2">
        <f>IF(Data!A69="","",IF(ISNUMBER(Data!C69),Data!C69,IFERROR(DATEVALUE(Data!C69),IFERROR(DATEVALUE(SUBSTITUTE(Data!C69,"-"," ")),""))))</f>
        <v/>
      </c>
      <c r="B69" s="2">
        <f>IF(Data!A69="","",IF(ISNUMBER(Data!D69),Data!D69,IFERROR(DATEVALUE(Data!D69),IFERROR(DATEVALUE(SUBSTITUTE(Data!D69,"-"," ")),""))))</f>
        <v/>
      </c>
      <c r="C69">
        <f>IF(Data!A69="","",IF(AND(A69="",B69=""),"Undated",IF(AND(A69&lt;&gt;"",TODAY()&lt;A69),"Upcoming",IF(AND(B69&lt;&gt;"",TODAY()&gt;B69),"Completed","Active"))))</f>
        <v/>
      </c>
    </row>
    <row r="70">
      <c r="A70" s="2">
        <f>IF(Data!A70="","",IF(ISNUMBER(Data!C70),Data!C70,IFERROR(DATEVALUE(Data!C70),IFERROR(DATEVALUE(SUBSTITUTE(Data!C70,"-"," ")),""))))</f>
        <v/>
      </c>
      <c r="B70" s="2">
        <f>IF(Data!A70="","",IF(ISNUMBER(Data!D70),Data!D70,IFERROR(DATEVALUE(Data!D70),IFERROR(DATEVALUE(SUBSTITUTE(Data!D70,"-"," ")),""))))</f>
        <v/>
      </c>
      <c r="C70">
        <f>IF(Data!A70="","",IF(AND(A70="",B70=""),"Undated",IF(AND(A70&lt;&gt;"",TODAY()&lt;A70),"Upcoming",IF(AND(B70&lt;&gt;"",TODAY()&gt;B70),"Completed","Active"))))</f>
        <v/>
      </c>
    </row>
    <row r="71">
      <c r="A71" s="2">
        <f>IF(Data!A71="","",IF(ISNUMBER(Data!C71),Data!C71,IFERROR(DATEVALUE(Data!C71),IFERROR(DATEVALUE(SUBSTITUTE(Data!C71,"-"," ")),""))))</f>
        <v/>
      </c>
      <c r="B71" s="2">
        <f>IF(Data!A71="","",IF(ISNUMBER(Data!D71),Data!D71,IFERROR(DATEVALUE(Data!D71),IFERROR(DATEVALUE(SUBSTITUTE(Data!D71,"-"," ")),""))))</f>
        <v/>
      </c>
      <c r="C71">
        <f>IF(Data!A71="","",IF(AND(A71="",B71=""),"Undated",IF(AND(A71&lt;&gt;"",TODAY()&lt;A71),"Upcoming",IF(AND(B71&lt;&gt;"",TODAY()&gt;B71),"Completed","Active"))))</f>
        <v/>
      </c>
    </row>
    <row r="72">
      <c r="A72" s="2">
        <f>IF(Data!A72="","",IF(ISNUMBER(Data!C72),Data!C72,IFERROR(DATEVALUE(Data!C72),IFERROR(DATEVALUE(SUBSTITUTE(Data!C72,"-"," ")),""))))</f>
        <v/>
      </c>
      <c r="B72" s="2">
        <f>IF(Data!A72="","",IF(ISNUMBER(Data!D72),Data!D72,IFERROR(DATEVALUE(Data!D72),IFERROR(DATEVALUE(SUBSTITUTE(Data!D72,"-"," ")),""))))</f>
        <v/>
      </c>
      <c r="C72">
        <f>IF(Data!A72="","",IF(AND(A72="",B72=""),"Undated",IF(AND(A72&lt;&gt;"",TODAY()&lt;A72),"Upcoming",IF(AND(B72&lt;&gt;"",TODAY()&gt;B72),"Completed","Active"))))</f>
        <v/>
      </c>
    </row>
    <row r="73">
      <c r="A73" s="2">
        <f>IF(Data!A73="","",IF(ISNUMBER(Data!C73),Data!C73,IFERROR(DATEVALUE(Data!C73),IFERROR(DATEVALUE(SUBSTITUTE(Data!C73,"-"," ")),""))))</f>
        <v/>
      </c>
      <c r="B73" s="2">
        <f>IF(Data!A73="","",IF(ISNUMBER(Data!D73),Data!D73,IFERROR(DATEVALUE(Data!D73),IFERROR(DATEVALUE(SUBSTITUTE(Data!D73,"-"," ")),""))))</f>
        <v/>
      </c>
      <c r="C73">
        <f>IF(Data!A73="","",IF(AND(A73="",B73=""),"Undated",IF(AND(A73&lt;&gt;"",TODAY()&lt;A73),"Upcoming",IF(AND(B73&lt;&gt;"",TODAY()&gt;B73),"Completed","Active"))))</f>
        <v/>
      </c>
    </row>
    <row r="74">
      <c r="A74" s="2">
        <f>IF(Data!A74="","",IF(ISNUMBER(Data!C74),Data!C74,IFERROR(DATEVALUE(Data!C74),IFERROR(DATEVALUE(SUBSTITUTE(Data!C74,"-"," ")),""))))</f>
        <v/>
      </c>
      <c r="B74" s="2">
        <f>IF(Data!A74="","",IF(ISNUMBER(Data!D74),Data!D74,IFERROR(DATEVALUE(Data!D74),IFERROR(DATEVALUE(SUBSTITUTE(Data!D74,"-"," ")),""))))</f>
        <v/>
      </c>
      <c r="C74">
        <f>IF(Data!A74="","",IF(AND(A74="",B74=""),"Undated",IF(AND(A74&lt;&gt;"",TODAY()&lt;A74),"Upcoming",IF(AND(B74&lt;&gt;"",TODAY()&gt;B74),"Completed","Active"))))</f>
        <v/>
      </c>
    </row>
    <row r="75">
      <c r="A75" s="2">
        <f>IF(Data!A75="","",IF(ISNUMBER(Data!C75),Data!C75,IFERROR(DATEVALUE(Data!C75),IFERROR(DATEVALUE(SUBSTITUTE(Data!C75,"-"," ")),""))))</f>
        <v/>
      </c>
      <c r="B75" s="2">
        <f>IF(Data!A75="","",IF(ISNUMBER(Data!D75),Data!D75,IFERROR(DATEVALUE(Data!D75),IFERROR(DATEVALUE(SUBSTITUTE(Data!D75,"-"," ")),""))))</f>
        <v/>
      </c>
      <c r="C75">
        <f>IF(Data!A75="","",IF(AND(A75="",B75=""),"Undated",IF(AND(A75&lt;&gt;"",TODAY()&lt;A75),"Upcoming",IF(AND(B75&lt;&gt;"",TODAY()&gt;B75),"Completed","Active"))))</f>
        <v/>
      </c>
    </row>
    <row r="76">
      <c r="A76" s="2">
        <f>IF(Data!A76="","",IF(ISNUMBER(Data!C76),Data!C76,IFERROR(DATEVALUE(Data!C76),IFERROR(DATEVALUE(SUBSTITUTE(Data!C76,"-"," ")),""))))</f>
        <v/>
      </c>
      <c r="B76" s="2">
        <f>IF(Data!A76="","",IF(ISNUMBER(Data!D76),Data!D76,IFERROR(DATEVALUE(Data!D76),IFERROR(DATEVALUE(SUBSTITUTE(Data!D76,"-"," ")),""))))</f>
        <v/>
      </c>
      <c r="C76">
        <f>IF(Data!A76="","",IF(AND(A76="",B76=""),"Undated",IF(AND(A76&lt;&gt;"",TODAY()&lt;A76),"Upcoming",IF(AND(B76&lt;&gt;"",TODAY()&gt;B76),"Completed","Active"))))</f>
        <v/>
      </c>
    </row>
    <row r="77">
      <c r="A77" s="2">
        <f>IF(Data!A77="","",IF(ISNUMBER(Data!C77),Data!C77,IFERROR(DATEVALUE(Data!C77),IFERROR(DATEVALUE(SUBSTITUTE(Data!C77,"-"," ")),""))))</f>
        <v/>
      </c>
      <c r="B77" s="2">
        <f>IF(Data!A77="","",IF(ISNUMBER(Data!D77),Data!D77,IFERROR(DATEVALUE(Data!D77),IFERROR(DATEVALUE(SUBSTITUTE(Data!D77,"-"," ")),""))))</f>
        <v/>
      </c>
      <c r="C77">
        <f>IF(Data!A77="","",IF(AND(A77="",B77=""),"Undated",IF(AND(A77&lt;&gt;"",TODAY()&lt;A77),"Upcoming",IF(AND(B77&lt;&gt;"",TODAY()&gt;B77),"Completed","Active"))))</f>
        <v/>
      </c>
    </row>
    <row r="78">
      <c r="A78" s="2">
        <f>IF(Data!A78="","",IF(ISNUMBER(Data!C78),Data!C78,IFERROR(DATEVALUE(Data!C78),IFERROR(DATEVALUE(SUBSTITUTE(Data!C78,"-"," ")),""))))</f>
        <v/>
      </c>
      <c r="B78" s="2">
        <f>IF(Data!A78="","",IF(ISNUMBER(Data!D78),Data!D78,IFERROR(DATEVALUE(Data!D78),IFERROR(DATEVALUE(SUBSTITUTE(Data!D78,"-"," ")),""))))</f>
        <v/>
      </c>
      <c r="C78">
        <f>IF(Data!A78="","",IF(AND(A78="",B78=""),"Undated",IF(AND(A78&lt;&gt;"",TODAY()&lt;A78),"Upcoming",IF(AND(B78&lt;&gt;"",TODAY()&gt;B78),"Completed","Active"))))</f>
        <v/>
      </c>
    </row>
    <row r="79">
      <c r="A79" s="2">
        <f>IF(Data!A79="","",IF(ISNUMBER(Data!C79),Data!C79,IFERROR(DATEVALUE(Data!C79),IFERROR(DATEVALUE(SUBSTITUTE(Data!C79,"-"," ")),""))))</f>
        <v/>
      </c>
      <c r="B79" s="2">
        <f>IF(Data!A79="","",IF(ISNUMBER(Data!D79),Data!D79,IFERROR(DATEVALUE(Data!D79),IFERROR(DATEVALUE(SUBSTITUTE(Data!D79,"-"," ")),""))))</f>
        <v/>
      </c>
      <c r="C79">
        <f>IF(Data!A79="","",IF(AND(A79="",B79=""),"Undated",IF(AND(A79&lt;&gt;"",TODAY()&lt;A79),"Upcoming",IF(AND(B79&lt;&gt;"",TODAY()&gt;B79),"Completed","Active"))))</f>
        <v/>
      </c>
    </row>
    <row r="80">
      <c r="A80" s="2">
        <f>IF(Data!A80="","",IF(ISNUMBER(Data!C80),Data!C80,IFERROR(DATEVALUE(Data!C80),IFERROR(DATEVALUE(SUBSTITUTE(Data!C80,"-"," ")),""))))</f>
        <v/>
      </c>
      <c r="B80" s="2">
        <f>IF(Data!A80="","",IF(ISNUMBER(Data!D80),Data!D80,IFERROR(DATEVALUE(Data!D80),IFERROR(DATEVALUE(SUBSTITUTE(Data!D80,"-"," ")),""))))</f>
        <v/>
      </c>
      <c r="C80">
        <f>IF(Data!A80="","",IF(AND(A80="",B80=""),"Undated",IF(AND(A80&lt;&gt;"",TODAY()&lt;A80),"Upcoming",IF(AND(B80&lt;&gt;"",TODAY()&gt;B80),"Completed","Active"))))</f>
        <v/>
      </c>
    </row>
    <row r="81">
      <c r="A81" s="2">
        <f>IF(Data!A81="","",IF(ISNUMBER(Data!C81),Data!C81,IFERROR(DATEVALUE(Data!C81),IFERROR(DATEVALUE(SUBSTITUTE(Data!C81,"-"," ")),""))))</f>
        <v/>
      </c>
      <c r="B81" s="2">
        <f>IF(Data!A81="","",IF(ISNUMBER(Data!D81),Data!D81,IFERROR(DATEVALUE(Data!D81),IFERROR(DATEVALUE(SUBSTITUTE(Data!D81,"-"," ")),""))))</f>
        <v/>
      </c>
      <c r="C81">
        <f>IF(Data!A81="","",IF(AND(A81="",B81=""),"Undated",IF(AND(A81&lt;&gt;"",TODAY()&lt;A81),"Upcoming",IF(AND(B81&lt;&gt;"",TODAY()&gt;B81),"Completed","Active"))))</f>
        <v/>
      </c>
    </row>
    <row r="82">
      <c r="A82" s="2">
        <f>IF(Data!A82="","",IF(ISNUMBER(Data!C82),Data!C82,IFERROR(DATEVALUE(Data!C82),IFERROR(DATEVALUE(SUBSTITUTE(Data!C82,"-"," ")),""))))</f>
        <v/>
      </c>
      <c r="B82" s="2">
        <f>IF(Data!A82="","",IF(ISNUMBER(Data!D82),Data!D82,IFERROR(DATEVALUE(Data!D82),IFERROR(DATEVALUE(SUBSTITUTE(Data!D82,"-"," ")),""))))</f>
        <v/>
      </c>
      <c r="C82">
        <f>IF(Data!A82="","",IF(AND(A82="",B82=""),"Undated",IF(AND(A82&lt;&gt;"",TODAY()&lt;A82),"Upcoming",IF(AND(B82&lt;&gt;"",TODAY()&gt;B82),"Completed","Active"))))</f>
        <v/>
      </c>
    </row>
    <row r="83">
      <c r="A83" s="2">
        <f>IF(Data!A83="","",IF(ISNUMBER(Data!C83),Data!C83,IFERROR(DATEVALUE(Data!C83),IFERROR(DATEVALUE(SUBSTITUTE(Data!C83,"-"," ")),""))))</f>
        <v/>
      </c>
      <c r="B83" s="2">
        <f>IF(Data!A83="","",IF(ISNUMBER(Data!D83),Data!D83,IFERROR(DATEVALUE(Data!D83),IFERROR(DATEVALUE(SUBSTITUTE(Data!D83,"-"," ")),""))))</f>
        <v/>
      </c>
      <c r="C83">
        <f>IF(Data!A83="","",IF(AND(A83="",B83=""),"Undated",IF(AND(A83&lt;&gt;"",TODAY()&lt;A83),"Upcoming",IF(AND(B83&lt;&gt;"",TODAY()&gt;B83),"Completed","Active"))))</f>
        <v/>
      </c>
    </row>
    <row r="84">
      <c r="A84" s="2">
        <f>IF(Data!A84="","",IF(ISNUMBER(Data!C84),Data!C84,IFERROR(DATEVALUE(Data!C84),IFERROR(DATEVALUE(SUBSTITUTE(Data!C84,"-"," ")),""))))</f>
        <v/>
      </c>
      <c r="B84" s="2">
        <f>IF(Data!A84="","",IF(ISNUMBER(Data!D84),Data!D84,IFERROR(DATEVALUE(Data!D84),IFERROR(DATEVALUE(SUBSTITUTE(Data!D84,"-"," ")),""))))</f>
        <v/>
      </c>
      <c r="C84">
        <f>IF(Data!A84="","",IF(AND(A84="",B84=""),"Undated",IF(AND(A84&lt;&gt;"",TODAY()&lt;A84),"Upcoming",IF(AND(B84&lt;&gt;"",TODAY()&gt;B84),"Completed","Active"))))</f>
        <v/>
      </c>
    </row>
    <row r="85">
      <c r="A85" s="2">
        <f>IF(Data!A85="","",IF(ISNUMBER(Data!C85),Data!C85,IFERROR(DATEVALUE(Data!C85),IFERROR(DATEVALUE(SUBSTITUTE(Data!C85,"-"," ")),""))))</f>
        <v/>
      </c>
      <c r="B85" s="2">
        <f>IF(Data!A85="","",IF(ISNUMBER(Data!D85),Data!D85,IFERROR(DATEVALUE(Data!D85),IFERROR(DATEVALUE(SUBSTITUTE(Data!D85,"-"," ")),""))))</f>
        <v/>
      </c>
      <c r="C85">
        <f>IF(Data!A85="","",IF(AND(A85="",B85=""),"Undated",IF(AND(A85&lt;&gt;"",TODAY()&lt;A85),"Upcoming",IF(AND(B85&lt;&gt;"",TODAY()&gt;B85),"Completed","Active"))))</f>
        <v/>
      </c>
    </row>
    <row r="86">
      <c r="A86" s="2">
        <f>IF(Data!A86="","",IF(ISNUMBER(Data!C86),Data!C86,IFERROR(DATEVALUE(Data!C86),IFERROR(DATEVALUE(SUBSTITUTE(Data!C86,"-"," ")),""))))</f>
        <v/>
      </c>
      <c r="B86" s="2">
        <f>IF(Data!A86="","",IF(ISNUMBER(Data!D86),Data!D86,IFERROR(DATEVALUE(Data!D86),IFERROR(DATEVALUE(SUBSTITUTE(Data!D86,"-"," ")),""))))</f>
        <v/>
      </c>
      <c r="C86">
        <f>IF(Data!A86="","",IF(AND(A86="",B86=""),"Undated",IF(AND(A86&lt;&gt;"",TODAY()&lt;A86),"Upcoming",IF(AND(B86&lt;&gt;"",TODAY()&gt;B86),"Completed","Active"))))</f>
        <v/>
      </c>
    </row>
    <row r="87">
      <c r="A87" s="2">
        <f>IF(Data!A87="","",IF(ISNUMBER(Data!C87),Data!C87,IFERROR(DATEVALUE(Data!C87),IFERROR(DATEVALUE(SUBSTITUTE(Data!C87,"-"," ")),""))))</f>
        <v/>
      </c>
      <c r="B87" s="2">
        <f>IF(Data!A87="","",IF(ISNUMBER(Data!D87),Data!D87,IFERROR(DATEVALUE(Data!D87),IFERROR(DATEVALUE(SUBSTITUTE(Data!D87,"-"," ")),""))))</f>
        <v/>
      </c>
      <c r="C87">
        <f>IF(Data!A87="","",IF(AND(A87="",B87=""),"Undated",IF(AND(A87&lt;&gt;"",TODAY()&lt;A87),"Upcoming",IF(AND(B87&lt;&gt;"",TODAY()&gt;B87),"Completed","Active"))))</f>
        <v/>
      </c>
    </row>
    <row r="88">
      <c r="A88" s="2">
        <f>IF(Data!A88="","",IF(ISNUMBER(Data!C88),Data!C88,IFERROR(DATEVALUE(Data!C88),IFERROR(DATEVALUE(SUBSTITUTE(Data!C88,"-"," ")),""))))</f>
        <v/>
      </c>
      <c r="B88" s="2">
        <f>IF(Data!A88="","",IF(ISNUMBER(Data!D88),Data!D88,IFERROR(DATEVALUE(Data!D88),IFERROR(DATEVALUE(SUBSTITUTE(Data!D88,"-"," ")),""))))</f>
        <v/>
      </c>
      <c r="C88">
        <f>IF(Data!A88="","",IF(AND(A88="",B88=""),"Undated",IF(AND(A88&lt;&gt;"",TODAY()&lt;A88),"Upcoming",IF(AND(B88&lt;&gt;"",TODAY()&gt;B88),"Completed","Active"))))</f>
        <v/>
      </c>
    </row>
    <row r="89">
      <c r="A89" s="2">
        <f>IF(Data!A89="","",IF(ISNUMBER(Data!C89),Data!C89,IFERROR(DATEVALUE(Data!C89),IFERROR(DATEVALUE(SUBSTITUTE(Data!C89,"-"," ")),""))))</f>
        <v/>
      </c>
      <c r="B89" s="2">
        <f>IF(Data!A89="","",IF(ISNUMBER(Data!D89),Data!D89,IFERROR(DATEVALUE(Data!D89),IFERROR(DATEVALUE(SUBSTITUTE(Data!D89,"-"," ")),""))))</f>
        <v/>
      </c>
      <c r="C89">
        <f>IF(Data!A89="","",IF(AND(A89="",B89=""),"Undated",IF(AND(A89&lt;&gt;"",TODAY()&lt;A89),"Upcoming",IF(AND(B89&lt;&gt;"",TODAY()&gt;B89),"Completed","Active"))))</f>
        <v/>
      </c>
    </row>
    <row r="90">
      <c r="A90" s="2">
        <f>IF(Data!A90="","",IF(ISNUMBER(Data!C90),Data!C90,IFERROR(DATEVALUE(Data!C90),IFERROR(DATEVALUE(SUBSTITUTE(Data!C90,"-"," ")),""))))</f>
        <v/>
      </c>
      <c r="B90" s="2">
        <f>IF(Data!A90="","",IF(ISNUMBER(Data!D90),Data!D90,IFERROR(DATEVALUE(Data!D90),IFERROR(DATEVALUE(SUBSTITUTE(Data!D90,"-"," ")),""))))</f>
        <v/>
      </c>
      <c r="C90">
        <f>IF(Data!A90="","",IF(AND(A90="",B90=""),"Undated",IF(AND(A90&lt;&gt;"",TODAY()&lt;A90),"Upcoming",IF(AND(B90&lt;&gt;"",TODAY()&gt;B90),"Completed","Active"))))</f>
        <v/>
      </c>
    </row>
    <row r="91">
      <c r="A91" s="2">
        <f>IF(Data!A91="","",IF(ISNUMBER(Data!C91),Data!C91,IFERROR(DATEVALUE(Data!C91),IFERROR(DATEVALUE(SUBSTITUTE(Data!C91,"-"," ")),""))))</f>
        <v/>
      </c>
      <c r="B91" s="2">
        <f>IF(Data!A91="","",IF(ISNUMBER(Data!D91),Data!D91,IFERROR(DATEVALUE(Data!D91),IFERROR(DATEVALUE(SUBSTITUTE(Data!D91,"-"," ")),""))))</f>
        <v/>
      </c>
      <c r="C91">
        <f>IF(Data!A91="","",IF(AND(A91="",B91=""),"Undated",IF(AND(A91&lt;&gt;"",TODAY()&lt;A91),"Upcoming",IF(AND(B91&lt;&gt;"",TODAY()&gt;B91),"Completed","Active"))))</f>
        <v/>
      </c>
    </row>
    <row r="92">
      <c r="A92" s="2">
        <f>IF(Data!A92="","",IF(ISNUMBER(Data!C92),Data!C92,IFERROR(DATEVALUE(Data!C92),IFERROR(DATEVALUE(SUBSTITUTE(Data!C92,"-"," ")),""))))</f>
        <v/>
      </c>
      <c r="B92" s="2">
        <f>IF(Data!A92="","",IF(ISNUMBER(Data!D92),Data!D92,IFERROR(DATEVALUE(Data!D92),IFERROR(DATEVALUE(SUBSTITUTE(Data!D92,"-"," ")),""))))</f>
        <v/>
      </c>
      <c r="C92">
        <f>IF(Data!A92="","",IF(AND(A92="",B92=""),"Undated",IF(AND(A92&lt;&gt;"",TODAY()&lt;A92),"Upcoming",IF(AND(B92&lt;&gt;"",TODAY()&gt;B92),"Completed","Active"))))</f>
        <v/>
      </c>
    </row>
    <row r="93">
      <c r="A93" s="2">
        <f>IF(Data!A93="","",IF(ISNUMBER(Data!C93),Data!C93,IFERROR(DATEVALUE(Data!C93),IFERROR(DATEVALUE(SUBSTITUTE(Data!C93,"-"," ")),""))))</f>
        <v/>
      </c>
      <c r="B93" s="2">
        <f>IF(Data!A93="","",IF(ISNUMBER(Data!D93),Data!D93,IFERROR(DATEVALUE(Data!D93),IFERROR(DATEVALUE(SUBSTITUTE(Data!D93,"-"," ")),""))))</f>
        <v/>
      </c>
      <c r="C93">
        <f>IF(Data!A93="","",IF(AND(A93="",B93=""),"Undated",IF(AND(A93&lt;&gt;"",TODAY()&lt;A93),"Upcoming",IF(AND(B93&lt;&gt;"",TODAY()&gt;B93),"Completed","Active"))))</f>
        <v/>
      </c>
    </row>
    <row r="94">
      <c r="A94" s="2">
        <f>IF(Data!A94="","",IF(ISNUMBER(Data!C94),Data!C94,IFERROR(DATEVALUE(Data!C94),IFERROR(DATEVALUE(SUBSTITUTE(Data!C94,"-"," ")),""))))</f>
        <v/>
      </c>
      <c r="B94" s="2">
        <f>IF(Data!A94="","",IF(ISNUMBER(Data!D94),Data!D94,IFERROR(DATEVALUE(Data!D94),IFERROR(DATEVALUE(SUBSTITUTE(Data!D94,"-"," ")),""))))</f>
        <v/>
      </c>
      <c r="C94">
        <f>IF(Data!A94="","",IF(AND(A94="",B94=""),"Undated",IF(AND(A94&lt;&gt;"",TODAY()&lt;A94),"Upcoming",IF(AND(B94&lt;&gt;"",TODAY()&gt;B94),"Completed","Active"))))</f>
        <v/>
      </c>
    </row>
    <row r="95">
      <c r="A95" s="2">
        <f>IF(Data!A95="","",IF(ISNUMBER(Data!C95),Data!C95,IFERROR(DATEVALUE(Data!C95),IFERROR(DATEVALUE(SUBSTITUTE(Data!C95,"-"," ")),""))))</f>
        <v/>
      </c>
      <c r="B95" s="2">
        <f>IF(Data!A95="","",IF(ISNUMBER(Data!D95),Data!D95,IFERROR(DATEVALUE(Data!D95),IFERROR(DATEVALUE(SUBSTITUTE(Data!D95,"-"," ")),""))))</f>
        <v/>
      </c>
      <c r="C95">
        <f>IF(Data!A95="","",IF(AND(A95="",B95=""),"Undated",IF(AND(A95&lt;&gt;"",TODAY()&lt;A95),"Upcoming",IF(AND(B95&lt;&gt;"",TODAY()&gt;B95),"Completed","Active"))))</f>
        <v/>
      </c>
    </row>
    <row r="96">
      <c r="A96" s="2">
        <f>IF(Data!A96="","",IF(ISNUMBER(Data!C96),Data!C96,IFERROR(DATEVALUE(Data!C96),IFERROR(DATEVALUE(SUBSTITUTE(Data!C96,"-"," ")),""))))</f>
        <v/>
      </c>
      <c r="B96" s="2">
        <f>IF(Data!A96="","",IF(ISNUMBER(Data!D96),Data!D96,IFERROR(DATEVALUE(Data!D96),IFERROR(DATEVALUE(SUBSTITUTE(Data!D96,"-"," ")),""))))</f>
        <v/>
      </c>
      <c r="C96">
        <f>IF(Data!A96="","",IF(AND(A96="",B96=""),"Undated",IF(AND(A96&lt;&gt;"",TODAY()&lt;A96),"Upcoming",IF(AND(B96&lt;&gt;"",TODAY()&gt;B96),"Completed","Active"))))</f>
        <v/>
      </c>
    </row>
    <row r="97">
      <c r="A97" s="2">
        <f>IF(Data!A97="","",IF(ISNUMBER(Data!C97),Data!C97,IFERROR(DATEVALUE(Data!C97),IFERROR(DATEVALUE(SUBSTITUTE(Data!C97,"-"," ")),""))))</f>
        <v/>
      </c>
      <c r="B97" s="2">
        <f>IF(Data!A97="","",IF(ISNUMBER(Data!D97),Data!D97,IFERROR(DATEVALUE(Data!D97),IFERROR(DATEVALUE(SUBSTITUTE(Data!D97,"-"," ")),""))))</f>
        <v/>
      </c>
      <c r="C97">
        <f>IF(Data!A97="","",IF(AND(A97="",B97=""),"Undated",IF(AND(A97&lt;&gt;"",TODAY()&lt;A97),"Upcoming",IF(AND(B97&lt;&gt;"",TODAY()&gt;B97),"Completed","Active"))))</f>
        <v/>
      </c>
    </row>
    <row r="98">
      <c r="A98" s="2">
        <f>IF(Data!A98="","",IF(ISNUMBER(Data!C98),Data!C98,IFERROR(DATEVALUE(Data!C98),IFERROR(DATEVALUE(SUBSTITUTE(Data!C98,"-"," ")),""))))</f>
        <v/>
      </c>
      <c r="B98" s="2">
        <f>IF(Data!A98="","",IF(ISNUMBER(Data!D98),Data!D98,IFERROR(DATEVALUE(Data!D98),IFERROR(DATEVALUE(SUBSTITUTE(Data!D98,"-"," ")),""))))</f>
        <v/>
      </c>
      <c r="C98">
        <f>IF(Data!A98="","",IF(AND(A98="",B98=""),"Undated",IF(AND(A98&lt;&gt;"",TODAY()&lt;A98),"Upcoming",IF(AND(B98&lt;&gt;"",TODAY()&gt;B98),"Completed","Active"))))</f>
        <v/>
      </c>
    </row>
    <row r="99">
      <c r="A99" s="2">
        <f>IF(Data!A99="","",IF(ISNUMBER(Data!C99),Data!C99,IFERROR(DATEVALUE(Data!C99),IFERROR(DATEVALUE(SUBSTITUTE(Data!C99,"-"," ")),""))))</f>
        <v/>
      </c>
      <c r="B99" s="2">
        <f>IF(Data!A99="","",IF(ISNUMBER(Data!D99),Data!D99,IFERROR(DATEVALUE(Data!D99),IFERROR(DATEVALUE(SUBSTITUTE(Data!D99,"-"," ")),""))))</f>
        <v/>
      </c>
      <c r="C99">
        <f>IF(Data!A99="","",IF(AND(A99="",B99=""),"Undated",IF(AND(A99&lt;&gt;"",TODAY()&lt;A99),"Upcoming",IF(AND(B99&lt;&gt;"",TODAY()&gt;B99),"Completed","Active"))))</f>
        <v/>
      </c>
    </row>
    <row r="100">
      <c r="A100" s="2">
        <f>IF(Data!A100="","",IF(ISNUMBER(Data!C100),Data!C100,IFERROR(DATEVALUE(Data!C100),IFERROR(DATEVALUE(SUBSTITUTE(Data!C100,"-"," ")),""))))</f>
        <v/>
      </c>
      <c r="B100" s="2">
        <f>IF(Data!A100="","",IF(ISNUMBER(Data!D100),Data!D100,IFERROR(DATEVALUE(Data!D100),IFERROR(DATEVALUE(SUBSTITUTE(Data!D100,"-"," ")),""))))</f>
        <v/>
      </c>
      <c r="C100">
        <f>IF(Data!A100="","",IF(AND(A100="",B100=""),"Undated",IF(AND(A100&lt;&gt;"",TODAY()&lt;A100),"Upcoming",IF(AND(B100&lt;&gt;"",TODAY()&gt;B100),"Completed","Active"))))</f>
        <v/>
      </c>
    </row>
    <row r="101">
      <c r="A101" s="2">
        <f>IF(Data!A101="","",IF(ISNUMBER(Data!C101),Data!C101,IFERROR(DATEVALUE(Data!C101),IFERROR(DATEVALUE(SUBSTITUTE(Data!C101,"-"," ")),""))))</f>
        <v/>
      </c>
      <c r="B101" s="2">
        <f>IF(Data!A101="","",IF(ISNUMBER(Data!D101),Data!D101,IFERROR(DATEVALUE(Data!D101),IFERROR(DATEVALUE(SUBSTITUTE(Data!D101,"-"," ")),""))))</f>
        <v/>
      </c>
      <c r="C101">
        <f>IF(Data!A101="","",IF(AND(A101="",B101=""),"Undated",IF(AND(A101&lt;&gt;"",TODAY()&lt;A101),"Upcoming",IF(AND(B101&lt;&gt;"",TODAY()&gt;B101),"Completed","Active"))))</f>
        <v/>
      </c>
    </row>
    <row r="102">
      <c r="A102" s="2">
        <f>IF(Data!A102="","",IF(ISNUMBER(Data!C102),Data!C102,IFERROR(DATEVALUE(Data!C102),IFERROR(DATEVALUE(SUBSTITUTE(Data!C102,"-"," ")),""))))</f>
        <v/>
      </c>
      <c r="B102" s="2">
        <f>IF(Data!A102="","",IF(ISNUMBER(Data!D102),Data!D102,IFERROR(DATEVALUE(Data!D102),IFERROR(DATEVALUE(SUBSTITUTE(Data!D102,"-"," ")),""))))</f>
        <v/>
      </c>
      <c r="C102">
        <f>IF(Data!A102="","",IF(AND(A102="",B102=""),"Undated",IF(AND(A102&lt;&gt;"",TODAY()&lt;A102),"Upcoming",IF(AND(B102&lt;&gt;"",TODAY()&gt;B102),"Completed","Active"))))</f>
        <v/>
      </c>
    </row>
    <row r="103">
      <c r="A103" s="2">
        <f>IF(Data!A103="","",IF(ISNUMBER(Data!C103),Data!C103,IFERROR(DATEVALUE(Data!C103),IFERROR(DATEVALUE(SUBSTITUTE(Data!C103,"-"," ")),""))))</f>
        <v/>
      </c>
      <c r="B103" s="2">
        <f>IF(Data!A103="","",IF(ISNUMBER(Data!D103),Data!D103,IFERROR(DATEVALUE(Data!D103),IFERROR(DATEVALUE(SUBSTITUTE(Data!D103,"-"," ")),""))))</f>
        <v/>
      </c>
      <c r="C103">
        <f>IF(Data!A103="","",IF(AND(A103="",B103=""),"Undated",IF(AND(A103&lt;&gt;"",TODAY()&lt;A103),"Upcoming",IF(AND(B103&lt;&gt;"",TODAY()&gt;B103),"Completed","Active"))))</f>
        <v/>
      </c>
    </row>
    <row r="104">
      <c r="A104" s="2">
        <f>IF(Data!A104="","",IF(ISNUMBER(Data!C104),Data!C104,IFERROR(DATEVALUE(Data!C104),IFERROR(DATEVALUE(SUBSTITUTE(Data!C104,"-"," ")),""))))</f>
        <v/>
      </c>
      <c r="B104" s="2">
        <f>IF(Data!A104="","",IF(ISNUMBER(Data!D104),Data!D104,IFERROR(DATEVALUE(Data!D104),IFERROR(DATEVALUE(SUBSTITUTE(Data!D104,"-"," ")),""))))</f>
        <v/>
      </c>
      <c r="C104">
        <f>IF(Data!A104="","",IF(AND(A104="",B104=""),"Undated",IF(AND(A104&lt;&gt;"",TODAY()&lt;A104),"Upcoming",IF(AND(B104&lt;&gt;"",TODAY()&gt;B104),"Completed","Active"))))</f>
        <v/>
      </c>
    </row>
    <row r="105">
      <c r="A105" s="2">
        <f>IF(Data!A105="","",IF(ISNUMBER(Data!C105),Data!C105,IFERROR(DATEVALUE(Data!C105),IFERROR(DATEVALUE(SUBSTITUTE(Data!C105,"-"," ")),""))))</f>
        <v/>
      </c>
      <c r="B105" s="2">
        <f>IF(Data!A105="","",IF(ISNUMBER(Data!D105),Data!D105,IFERROR(DATEVALUE(Data!D105),IFERROR(DATEVALUE(SUBSTITUTE(Data!D105,"-"," ")),""))))</f>
        <v/>
      </c>
      <c r="C105">
        <f>IF(Data!A105="","",IF(AND(A105="",B105=""),"Undated",IF(AND(A105&lt;&gt;"",TODAY()&lt;A105),"Upcoming",IF(AND(B105&lt;&gt;"",TODAY()&gt;B105),"Completed","Active"))))</f>
        <v/>
      </c>
    </row>
    <row r="106">
      <c r="A106" s="2">
        <f>IF(Data!A106="","",IF(ISNUMBER(Data!C106),Data!C106,IFERROR(DATEVALUE(Data!C106),IFERROR(DATEVALUE(SUBSTITUTE(Data!C106,"-"," ")),""))))</f>
        <v/>
      </c>
      <c r="B106" s="2">
        <f>IF(Data!A106="","",IF(ISNUMBER(Data!D106),Data!D106,IFERROR(DATEVALUE(Data!D106),IFERROR(DATEVALUE(SUBSTITUTE(Data!D106,"-"," ")),""))))</f>
        <v/>
      </c>
      <c r="C106">
        <f>IF(Data!A106="","",IF(AND(A106="",B106=""),"Undated",IF(AND(A106&lt;&gt;"",TODAY()&lt;A106),"Upcoming",IF(AND(B106&lt;&gt;"",TODAY()&gt;B106),"Completed","Active"))))</f>
        <v/>
      </c>
    </row>
    <row r="107">
      <c r="A107" s="2">
        <f>IF(Data!A107="","",IF(ISNUMBER(Data!C107),Data!C107,IFERROR(DATEVALUE(Data!C107),IFERROR(DATEVALUE(SUBSTITUTE(Data!C107,"-"," ")),""))))</f>
        <v/>
      </c>
      <c r="B107" s="2">
        <f>IF(Data!A107="","",IF(ISNUMBER(Data!D107),Data!D107,IFERROR(DATEVALUE(Data!D107),IFERROR(DATEVALUE(SUBSTITUTE(Data!D107,"-"," ")),""))))</f>
        <v/>
      </c>
      <c r="C107">
        <f>IF(Data!A107="","",IF(AND(A107="",B107=""),"Undated",IF(AND(A107&lt;&gt;"",TODAY()&lt;A107),"Upcoming",IF(AND(B107&lt;&gt;"",TODAY()&gt;B107),"Completed","Active"))))</f>
        <v/>
      </c>
    </row>
    <row r="108">
      <c r="A108" s="2">
        <f>IF(Data!A108="","",IF(ISNUMBER(Data!C108),Data!C108,IFERROR(DATEVALUE(Data!C108),IFERROR(DATEVALUE(SUBSTITUTE(Data!C108,"-"," ")),""))))</f>
        <v/>
      </c>
      <c r="B108" s="2">
        <f>IF(Data!A108="","",IF(ISNUMBER(Data!D108),Data!D108,IFERROR(DATEVALUE(Data!D108),IFERROR(DATEVALUE(SUBSTITUTE(Data!D108,"-"," ")),""))))</f>
        <v/>
      </c>
      <c r="C108">
        <f>IF(Data!A108="","",IF(AND(A108="",B108=""),"Undated",IF(AND(A108&lt;&gt;"",TODAY()&lt;A108),"Upcoming",IF(AND(B108&lt;&gt;"",TODAY()&gt;B108),"Completed","Active"))))</f>
        <v/>
      </c>
    </row>
    <row r="109">
      <c r="A109" s="2">
        <f>IF(Data!A109="","",IF(ISNUMBER(Data!C109),Data!C109,IFERROR(DATEVALUE(Data!C109),IFERROR(DATEVALUE(SUBSTITUTE(Data!C109,"-"," ")),""))))</f>
        <v/>
      </c>
      <c r="B109" s="2">
        <f>IF(Data!A109="","",IF(ISNUMBER(Data!D109),Data!D109,IFERROR(DATEVALUE(Data!D109),IFERROR(DATEVALUE(SUBSTITUTE(Data!D109,"-"," ")),""))))</f>
        <v/>
      </c>
      <c r="C109">
        <f>IF(Data!A109="","",IF(AND(A109="",B109=""),"Undated",IF(AND(A109&lt;&gt;"",TODAY()&lt;A109),"Upcoming",IF(AND(B109&lt;&gt;"",TODAY()&gt;B109),"Completed","Active"))))</f>
        <v/>
      </c>
    </row>
    <row r="110">
      <c r="A110" s="2">
        <f>IF(Data!A110="","",IF(ISNUMBER(Data!C110),Data!C110,IFERROR(DATEVALUE(Data!C110),IFERROR(DATEVALUE(SUBSTITUTE(Data!C110,"-"," ")),""))))</f>
        <v/>
      </c>
      <c r="B110" s="2">
        <f>IF(Data!A110="","",IF(ISNUMBER(Data!D110),Data!D110,IFERROR(DATEVALUE(Data!D110),IFERROR(DATEVALUE(SUBSTITUTE(Data!D110,"-"," ")),""))))</f>
        <v/>
      </c>
      <c r="C110">
        <f>IF(Data!A110="","",IF(AND(A110="",B110=""),"Undated",IF(AND(A110&lt;&gt;"",TODAY()&lt;A110),"Upcoming",IF(AND(B110&lt;&gt;"",TODAY()&gt;B110),"Completed","Active"))))</f>
        <v/>
      </c>
    </row>
    <row r="111">
      <c r="A111" s="2">
        <f>IF(Data!A111="","",IF(ISNUMBER(Data!C111),Data!C111,IFERROR(DATEVALUE(Data!C111),IFERROR(DATEVALUE(SUBSTITUTE(Data!C111,"-"," ")),""))))</f>
        <v/>
      </c>
      <c r="B111" s="2">
        <f>IF(Data!A111="","",IF(ISNUMBER(Data!D111),Data!D111,IFERROR(DATEVALUE(Data!D111),IFERROR(DATEVALUE(SUBSTITUTE(Data!D111,"-"," ")),""))))</f>
        <v/>
      </c>
      <c r="C111">
        <f>IF(Data!A111="","",IF(AND(A111="",B111=""),"Undated",IF(AND(A111&lt;&gt;"",TODAY()&lt;A111),"Upcoming",IF(AND(B111&lt;&gt;"",TODAY()&gt;B111),"Completed","Active"))))</f>
        <v/>
      </c>
    </row>
    <row r="112">
      <c r="A112" s="2">
        <f>IF(Data!A112="","",IF(ISNUMBER(Data!C112),Data!C112,IFERROR(DATEVALUE(Data!C112),IFERROR(DATEVALUE(SUBSTITUTE(Data!C112,"-"," ")),""))))</f>
        <v/>
      </c>
      <c r="B112" s="2">
        <f>IF(Data!A112="","",IF(ISNUMBER(Data!D112),Data!D112,IFERROR(DATEVALUE(Data!D112),IFERROR(DATEVALUE(SUBSTITUTE(Data!D112,"-"," ")),""))))</f>
        <v/>
      </c>
      <c r="C112">
        <f>IF(Data!A112="","",IF(AND(A112="",B112=""),"Undated",IF(AND(A112&lt;&gt;"",TODAY()&lt;A112),"Upcoming",IF(AND(B112&lt;&gt;"",TODAY()&gt;B112),"Completed","Active"))))</f>
        <v/>
      </c>
    </row>
    <row r="113">
      <c r="A113" s="2">
        <f>IF(Data!A113="","",IF(ISNUMBER(Data!C113),Data!C113,IFERROR(DATEVALUE(Data!C113),IFERROR(DATEVALUE(SUBSTITUTE(Data!C113,"-"," ")),""))))</f>
        <v/>
      </c>
      <c r="B113" s="2">
        <f>IF(Data!A113="","",IF(ISNUMBER(Data!D113),Data!D113,IFERROR(DATEVALUE(Data!D113),IFERROR(DATEVALUE(SUBSTITUTE(Data!D113,"-"," ")),""))))</f>
        <v/>
      </c>
      <c r="C113">
        <f>IF(Data!A113="","",IF(AND(A113="",B113=""),"Undated",IF(AND(A113&lt;&gt;"",TODAY()&lt;A113),"Upcoming",IF(AND(B113&lt;&gt;"",TODAY()&gt;B113),"Completed","Active"))))</f>
        <v/>
      </c>
    </row>
    <row r="114">
      <c r="A114" s="2">
        <f>IF(Data!A114="","",IF(ISNUMBER(Data!C114),Data!C114,IFERROR(DATEVALUE(Data!C114),IFERROR(DATEVALUE(SUBSTITUTE(Data!C114,"-"," ")),""))))</f>
        <v/>
      </c>
      <c r="B114" s="2">
        <f>IF(Data!A114="","",IF(ISNUMBER(Data!D114),Data!D114,IFERROR(DATEVALUE(Data!D114),IFERROR(DATEVALUE(SUBSTITUTE(Data!D114,"-"," ")),""))))</f>
        <v/>
      </c>
      <c r="C114">
        <f>IF(Data!A114="","",IF(AND(A114="",B114=""),"Undated",IF(AND(A114&lt;&gt;"",TODAY()&lt;A114),"Upcoming",IF(AND(B114&lt;&gt;"",TODAY()&gt;B114),"Completed","Active"))))</f>
        <v/>
      </c>
    </row>
    <row r="115">
      <c r="A115" s="2">
        <f>IF(Data!A115="","",IF(ISNUMBER(Data!C115),Data!C115,IFERROR(DATEVALUE(Data!C115),IFERROR(DATEVALUE(SUBSTITUTE(Data!C115,"-"," ")),""))))</f>
        <v/>
      </c>
      <c r="B115" s="2">
        <f>IF(Data!A115="","",IF(ISNUMBER(Data!D115),Data!D115,IFERROR(DATEVALUE(Data!D115),IFERROR(DATEVALUE(SUBSTITUTE(Data!D115,"-"," ")),""))))</f>
        <v/>
      </c>
      <c r="C115">
        <f>IF(Data!A115="","",IF(AND(A115="",B115=""),"Undated",IF(AND(A115&lt;&gt;"",TODAY()&lt;A115),"Upcoming",IF(AND(B115&lt;&gt;"",TODAY()&gt;B115),"Completed","Active"))))</f>
        <v/>
      </c>
    </row>
    <row r="116">
      <c r="A116" s="2">
        <f>IF(Data!A116="","",IF(ISNUMBER(Data!C116),Data!C116,IFERROR(DATEVALUE(Data!C116),IFERROR(DATEVALUE(SUBSTITUTE(Data!C116,"-"," ")),""))))</f>
        <v/>
      </c>
      <c r="B116" s="2">
        <f>IF(Data!A116="","",IF(ISNUMBER(Data!D116),Data!D116,IFERROR(DATEVALUE(Data!D116),IFERROR(DATEVALUE(SUBSTITUTE(Data!D116,"-"," ")),""))))</f>
        <v/>
      </c>
      <c r="C116">
        <f>IF(Data!A116="","",IF(AND(A116="",B116=""),"Undated",IF(AND(A116&lt;&gt;"",TODAY()&lt;A116),"Upcoming",IF(AND(B116&lt;&gt;"",TODAY()&gt;B116),"Completed","Active"))))</f>
        <v/>
      </c>
    </row>
    <row r="117">
      <c r="A117" s="2">
        <f>IF(Data!A117="","",IF(ISNUMBER(Data!C117),Data!C117,IFERROR(DATEVALUE(Data!C117),IFERROR(DATEVALUE(SUBSTITUTE(Data!C117,"-"," ")),""))))</f>
        <v/>
      </c>
      <c r="B117" s="2">
        <f>IF(Data!A117="","",IF(ISNUMBER(Data!D117),Data!D117,IFERROR(DATEVALUE(Data!D117),IFERROR(DATEVALUE(SUBSTITUTE(Data!D117,"-"," ")),""))))</f>
        <v/>
      </c>
      <c r="C117">
        <f>IF(Data!A117="","",IF(AND(A117="",B117=""),"Undated",IF(AND(A117&lt;&gt;"",TODAY()&lt;A117),"Upcoming",IF(AND(B117&lt;&gt;"",TODAY()&gt;B117),"Completed","Active"))))</f>
        <v/>
      </c>
    </row>
    <row r="118">
      <c r="A118" s="2">
        <f>IF(Data!A118="","",IF(ISNUMBER(Data!C118),Data!C118,IFERROR(DATEVALUE(Data!C118),IFERROR(DATEVALUE(SUBSTITUTE(Data!C118,"-"," ")),""))))</f>
        <v/>
      </c>
      <c r="B118" s="2">
        <f>IF(Data!A118="","",IF(ISNUMBER(Data!D118),Data!D118,IFERROR(DATEVALUE(Data!D118),IFERROR(DATEVALUE(SUBSTITUTE(Data!D118,"-"," ")),""))))</f>
        <v/>
      </c>
      <c r="C118">
        <f>IF(Data!A118="","",IF(AND(A118="",B118=""),"Undated",IF(AND(A118&lt;&gt;"",TODAY()&lt;A118),"Upcoming",IF(AND(B118&lt;&gt;"",TODAY()&gt;B118),"Completed","Active"))))</f>
        <v/>
      </c>
    </row>
    <row r="119">
      <c r="A119" s="2">
        <f>IF(Data!A119="","",IF(ISNUMBER(Data!C119),Data!C119,IFERROR(DATEVALUE(Data!C119),IFERROR(DATEVALUE(SUBSTITUTE(Data!C119,"-"," ")),""))))</f>
        <v/>
      </c>
      <c r="B119" s="2">
        <f>IF(Data!A119="","",IF(ISNUMBER(Data!D119),Data!D119,IFERROR(DATEVALUE(Data!D119),IFERROR(DATEVALUE(SUBSTITUTE(Data!D119,"-"," ")),""))))</f>
        <v/>
      </c>
      <c r="C119">
        <f>IF(Data!A119="","",IF(AND(A119="",B119=""),"Undated",IF(AND(A119&lt;&gt;"",TODAY()&lt;A119),"Upcoming",IF(AND(B119&lt;&gt;"",TODAY()&gt;B119),"Completed","Active"))))</f>
        <v/>
      </c>
    </row>
    <row r="120">
      <c r="A120" s="2">
        <f>IF(Data!A120="","",IF(ISNUMBER(Data!C120),Data!C120,IFERROR(DATEVALUE(Data!C120),IFERROR(DATEVALUE(SUBSTITUTE(Data!C120,"-"," ")),""))))</f>
        <v/>
      </c>
      <c r="B120" s="2">
        <f>IF(Data!A120="","",IF(ISNUMBER(Data!D120),Data!D120,IFERROR(DATEVALUE(Data!D120),IFERROR(DATEVALUE(SUBSTITUTE(Data!D120,"-"," ")),""))))</f>
        <v/>
      </c>
      <c r="C120">
        <f>IF(Data!A120="","",IF(AND(A120="",B120=""),"Undated",IF(AND(A120&lt;&gt;"",TODAY()&lt;A120),"Upcoming",IF(AND(B120&lt;&gt;"",TODAY()&gt;B120),"Completed","Active"))))</f>
        <v/>
      </c>
    </row>
    <row r="121">
      <c r="A121" s="2">
        <f>IF(Data!A121="","",IF(ISNUMBER(Data!C121),Data!C121,IFERROR(DATEVALUE(Data!C121),IFERROR(DATEVALUE(SUBSTITUTE(Data!C121,"-"," ")),""))))</f>
        <v/>
      </c>
      <c r="B121" s="2">
        <f>IF(Data!A121="","",IF(ISNUMBER(Data!D121),Data!D121,IFERROR(DATEVALUE(Data!D121),IFERROR(DATEVALUE(SUBSTITUTE(Data!D121,"-"," ")),""))))</f>
        <v/>
      </c>
      <c r="C121">
        <f>IF(Data!A121="","",IF(AND(A121="",B121=""),"Undated",IF(AND(A121&lt;&gt;"",TODAY()&lt;A121),"Upcoming",IF(AND(B121&lt;&gt;"",TODAY()&gt;B121),"Completed","Active"))))</f>
        <v/>
      </c>
    </row>
    <row r="122">
      <c r="A122" s="2">
        <f>IF(Data!A122="","",IF(ISNUMBER(Data!C122),Data!C122,IFERROR(DATEVALUE(Data!C122),IFERROR(DATEVALUE(SUBSTITUTE(Data!C122,"-"," ")),""))))</f>
        <v/>
      </c>
      <c r="B122" s="2">
        <f>IF(Data!A122="","",IF(ISNUMBER(Data!D122),Data!D122,IFERROR(DATEVALUE(Data!D122),IFERROR(DATEVALUE(SUBSTITUTE(Data!D122,"-"," ")),""))))</f>
        <v/>
      </c>
      <c r="C122">
        <f>IF(Data!A122="","",IF(AND(A122="",B122=""),"Undated",IF(AND(A122&lt;&gt;"",TODAY()&lt;A122),"Upcoming",IF(AND(B122&lt;&gt;"",TODAY()&gt;B122),"Completed","Active"))))</f>
        <v/>
      </c>
    </row>
    <row r="123">
      <c r="A123" s="2">
        <f>IF(Data!A123="","",IF(ISNUMBER(Data!C123),Data!C123,IFERROR(DATEVALUE(Data!C123),IFERROR(DATEVALUE(SUBSTITUTE(Data!C123,"-"," ")),""))))</f>
        <v/>
      </c>
      <c r="B123" s="2">
        <f>IF(Data!A123="","",IF(ISNUMBER(Data!D123),Data!D123,IFERROR(DATEVALUE(Data!D123),IFERROR(DATEVALUE(SUBSTITUTE(Data!D123,"-"," ")),""))))</f>
        <v/>
      </c>
      <c r="C123">
        <f>IF(Data!A123="","",IF(AND(A123="",B123=""),"Undated",IF(AND(A123&lt;&gt;"",TODAY()&lt;A123),"Upcoming",IF(AND(B123&lt;&gt;"",TODAY()&gt;B123),"Completed","Active"))))</f>
        <v/>
      </c>
    </row>
    <row r="124">
      <c r="A124" s="2">
        <f>IF(Data!A124="","",IF(ISNUMBER(Data!C124),Data!C124,IFERROR(DATEVALUE(Data!C124),IFERROR(DATEVALUE(SUBSTITUTE(Data!C124,"-"," ")),""))))</f>
        <v/>
      </c>
      <c r="B124" s="2">
        <f>IF(Data!A124="","",IF(ISNUMBER(Data!D124),Data!D124,IFERROR(DATEVALUE(Data!D124),IFERROR(DATEVALUE(SUBSTITUTE(Data!D124,"-"," ")),""))))</f>
        <v/>
      </c>
      <c r="C124">
        <f>IF(Data!A124="","",IF(AND(A124="",B124=""),"Undated",IF(AND(A124&lt;&gt;"",TODAY()&lt;A124),"Upcoming",IF(AND(B124&lt;&gt;"",TODAY()&gt;B124),"Completed","Active"))))</f>
        <v/>
      </c>
    </row>
    <row r="125">
      <c r="A125" s="2">
        <f>IF(Data!A125="","",IF(ISNUMBER(Data!C125),Data!C125,IFERROR(DATEVALUE(Data!C125),IFERROR(DATEVALUE(SUBSTITUTE(Data!C125,"-"," ")),""))))</f>
        <v/>
      </c>
      <c r="B125" s="2">
        <f>IF(Data!A125="","",IF(ISNUMBER(Data!D125),Data!D125,IFERROR(DATEVALUE(Data!D125),IFERROR(DATEVALUE(SUBSTITUTE(Data!D125,"-"," ")),""))))</f>
        <v/>
      </c>
      <c r="C125">
        <f>IF(Data!A125="","",IF(AND(A125="",B125=""),"Undated",IF(AND(A125&lt;&gt;"",TODAY()&lt;A125),"Upcoming",IF(AND(B125&lt;&gt;"",TODAY()&gt;B125),"Completed","Active"))))</f>
        <v/>
      </c>
    </row>
    <row r="126">
      <c r="A126" s="2">
        <f>IF(Data!A126="","",IF(ISNUMBER(Data!C126),Data!C126,IFERROR(DATEVALUE(Data!C126),IFERROR(DATEVALUE(SUBSTITUTE(Data!C126,"-"," ")),""))))</f>
        <v/>
      </c>
      <c r="B126" s="2">
        <f>IF(Data!A126="","",IF(ISNUMBER(Data!D126),Data!D126,IFERROR(DATEVALUE(Data!D126),IFERROR(DATEVALUE(SUBSTITUTE(Data!D126,"-"," ")),""))))</f>
        <v/>
      </c>
      <c r="C126">
        <f>IF(Data!A126="","",IF(AND(A126="",B126=""),"Undated",IF(AND(A126&lt;&gt;"",TODAY()&lt;A126),"Upcoming",IF(AND(B126&lt;&gt;"",TODAY()&gt;B126),"Completed","Active"))))</f>
        <v/>
      </c>
    </row>
    <row r="127">
      <c r="A127" s="2">
        <f>IF(Data!A127="","",IF(ISNUMBER(Data!C127),Data!C127,IFERROR(DATEVALUE(Data!C127),IFERROR(DATEVALUE(SUBSTITUTE(Data!C127,"-"," ")),""))))</f>
        <v/>
      </c>
      <c r="B127" s="2">
        <f>IF(Data!A127="","",IF(ISNUMBER(Data!D127),Data!D127,IFERROR(DATEVALUE(Data!D127),IFERROR(DATEVALUE(SUBSTITUTE(Data!D127,"-"," ")),""))))</f>
        <v/>
      </c>
      <c r="C127">
        <f>IF(Data!A127="","",IF(AND(A127="",B127=""),"Undated",IF(AND(A127&lt;&gt;"",TODAY()&lt;A127),"Upcoming",IF(AND(B127&lt;&gt;"",TODAY()&gt;B127),"Completed","Active"))))</f>
        <v/>
      </c>
    </row>
    <row r="128">
      <c r="A128" s="2">
        <f>IF(Data!A128="","",IF(ISNUMBER(Data!C128),Data!C128,IFERROR(DATEVALUE(Data!C128),IFERROR(DATEVALUE(SUBSTITUTE(Data!C128,"-"," ")),""))))</f>
        <v/>
      </c>
      <c r="B128" s="2">
        <f>IF(Data!A128="","",IF(ISNUMBER(Data!D128),Data!D128,IFERROR(DATEVALUE(Data!D128),IFERROR(DATEVALUE(SUBSTITUTE(Data!D128,"-"," ")),""))))</f>
        <v/>
      </c>
      <c r="C128">
        <f>IF(Data!A128="","",IF(AND(A128="",B128=""),"Undated",IF(AND(A128&lt;&gt;"",TODAY()&lt;A128),"Upcoming",IF(AND(B128&lt;&gt;"",TODAY()&gt;B128),"Completed","Active"))))</f>
        <v/>
      </c>
    </row>
    <row r="129">
      <c r="A129" s="2">
        <f>IF(Data!A129="","",IF(ISNUMBER(Data!C129),Data!C129,IFERROR(DATEVALUE(Data!C129),IFERROR(DATEVALUE(SUBSTITUTE(Data!C129,"-"," ")),""))))</f>
        <v/>
      </c>
      <c r="B129" s="2">
        <f>IF(Data!A129="","",IF(ISNUMBER(Data!D129),Data!D129,IFERROR(DATEVALUE(Data!D129),IFERROR(DATEVALUE(SUBSTITUTE(Data!D129,"-"," ")),""))))</f>
        <v/>
      </c>
      <c r="C129">
        <f>IF(Data!A129="","",IF(AND(A129="",B129=""),"Undated",IF(AND(A129&lt;&gt;"",TODAY()&lt;A129),"Upcoming",IF(AND(B129&lt;&gt;"",TODAY()&gt;B129),"Completed","Active"))))</f>
        <v/>
      </c>
    </row>
    <row r="130">
      <c r="A130" s="2">
        <f>IF(Data!A130="","",IF(ISNUMBER(Data!C130),Data!C130,IFERROR(DATEVALUE(Data!C130),IFERROR(DATEVALUE(SUBSTITUTE(Data!C130,"-"," ")),""))))</f>
        <v/>
      </c>
      <c r="B130" s="2">
        <f>IF(Data!A130="","",IF(ISNUMBER(Data!D130),Data!D130,IFERROR(DATEVALUE(Data!D130),IFERROR(DATEVALUE(SUBSTITUTE(Data!D130,"-"," ")),""))))</f>
        <v/>
      </c>
      <c r="C130">
        <f>IF(Data!A130="","",IF(AND(A130="",B130=""),"Undated",IF(AND(A130&lt;&gt;"",TODAY()&lt;A130),"Upcoming",IF(AND(B130&lt;&gt;"",TODAY()&gt;B130),"Completed","Active"))))</f>
        <v/>
      </c>
    </row>
    <row r="131">
      <c r="A131" s="2">
        <f>IF(Data!A131="","",IF(ISNUMBER(Data!C131),Data!C131,IFERROR(DATEVALUE(Data!C131),IFERROR(DATEVALUE(SUBSTITUTE(Data!C131,"-"," ")),""))))</f>
        <v/>
      </c>
      <c r="B131" s="2">
        <f>IF(Data!A131="","",IF(ISNUMBER(Data!D131),Data!D131,IFERROR(DATEVALUE(Data!D131),IFERROR(DATEVALUE(SUBSTITUTE(Data!D131,"-"," ")),""))))</f>
        <v/>
      </c>
      <c r="C131">
        <f>IF(Data!A131="","",IF(AND(A131="",B131=""),"Undated",IF(AND(A131&lt;&gt;"",TODAY()&lt;A131),"Upcoming",IF(AND(B131&lt;&gt;"",TODAY()&gt;B131),"Completed","Active"))))</f>
        <v/>
      </c>
    </row>
    <row r="132">
      <c r="A132" s="2">
        <f>IF(Data!A132="","",IF(ISNUMBER(Data!C132),Data!C132,IFERROR(DATEVALUE(Data!C132),IFERROR(DATEVALUE(SUBSTITUTE(Data!C132,"-"," ")),""))))</f>
        <v/>
      </c>
      <c r="B132" s="2">
        <f>IF(Data!A132="","",IF(ISNUMBER(Data!D132),Data!D132,IFERROR(DATEVALUE(Data!D132),IFERROR(DATEVALUE(SUBSTITUTE(Data!D132,"-"," ")),""))))</f>
        <v/>
      </c>
      <c r="C132">
        <f>IF(Data!A132="","",IF(AND(A132="",B132=""),"Undated",IF(AND(A132&lt;&gt;"",TODAY()&lt;A132),"Upcoming",IF(AND(B132&lt;&gt;"",TODAY()&gt;B132),"Completed","Active"))))</f>
        <v/>
      </c>
    </row>
    <row r="133">
      <c r="A133" s="2">
        <f>IF(Data!A133="","",IF(ISNUMBER(Data!C133),Data!C133,IFERROR(DATEVALUE(Data!C133),IFERROR(DATEVALUE(SUBSTITUTE(Data!C133,"-"," ")),""))))</f>
        <v/>
      </c>
      <c r="B133" s="2">
        <f>IF(Data!A133="","",IF(ISNUMBER(Data!D133),Data!D133,IFERROR(DATEVALUE(Data!D133),IFERROR(DATEVALUE(SUBSTITUTE(Data!D133,"-"," ")),""))))</f>
        <v/>
      </c>
      <c r="C133">
        <f>IF(Data!A133="","",IF(AND(A133="",B133=""),"Undated",IF(AND(A133&lt;&gt;"",TODAY()&lt;A133),"Upcoming",IF(AND(B133&lt;&gt;"",TODAY()&gt;B133),"Completed","Active"))))</f>
        <v/>
      </c>
    </row>
    <row r="134">
      <c r="A134" s="2">
        <f>IF(Data!A134="","",IF(ISNUMBER(Data!C134),Data!C134,IFERROR(DATEVALUE(Data!C134),IFERROR(DATEVALUE(SUBSTITUTE(Data!C134,"-"," ")),""))))</f>
        <v/>
      </c>
      <c r="B134" s="2">
        <f>IF(Data!A134="","",IF(ISNUMBER(Data!D134),Data!D134,IFERROR(DATEVALUE(Data!D134),IFERROR(DATEVALUE(SUBSTITUTE(Data!D134,"-"," ")),""))))</f>
        <v/>
      </c>
      <c r="C134">
        <f>IF(Data!A134="","",IF(AND(A134="",B134=""),"Undated",IF(AND(A134&lt;&gt;"",TODAY()&lt;A134),"Upcoming",IF(AND(B134&lt;&gt;"",TODAY()&gt;B134),"Completed","Active"))))</f>
        <v/>
      </c>
    </row>
    <row r="135">
      <c r="A135" s="2">
        <f>IF(Data!A135="","",IF(ISNUMBER(Data!C135),Data!C135,IFERROR(DATEVALUE(Data!C135),IFERROR(DATEVALUE(SUBSTITUTE(Data!C135,"-"," ")),""))))</f>
        <v/>
      </c>
      <c r="B135" s="2">
        <f>IF(Data!A135="","",IF(ISNUMBER(Data!D135),Data!D135,IFERROR(DATEVALUE(Data!D135),IFERROR(DATEVALUE(SUBSTITUTE(Data!D135,"-"," ")),""))))</f>
        <v/>
      </c>
      <c r="C135">
        <f>IF(Data!A135="","",IF(AND(A135="",B135=""),"Undated",IF(AND(A135&lt;&gt;"",TODAY()&lt;A135),"Upcoming",IF(AND(B135&lt;&gt;"",TODAY()&gt;B135),"Completed","Active"))))</f>
        <v/>
      </c>
    </row>
    <row r="136">
      <c r="A136" s="2">
        <f>IF(Data!A136="","",IF(ISNUMBER(Data!C136),Data!C136,IFERROR(DATEVALUE(Data!C136),IFERROR(DATEVALUE(SUBSTITUTE(Data!C136,"-"," ")),""))))</f>
        <v/>
      </c>
      <c r="B136" s="2">
        <f>IF(Data!A136="","",IF(ISNUMBER(Data!D136),Data!D136,IFERROR(DATEVALUE(Data!D136),IFERROR(DATEVALUE(SUBSTITUTE(Data!D136,"-"," ")),""))))</f>
        <v/>
      </c>
      <c r="C136">
        <f>IF(Data!A136="","",IF(AND(A136="",B136=""),"Undated",IF(AND(A136&lt;&gt;"",TODAY()&lt;A136),"Upcoming",IF(AND(B136&lt;&gt;"",TODAY()&gt;B136),"Completed","Active"))))</f>
        <v/>
      </c>
    </row>
    <row r="137">
      <c r="A137" s="2">
        <f>IF(Data!A137="","",IF(ISNUMBER(Data!C137),Data!C137,IFERROR(DATEVALUE(Data!C137),IFERROR(DATEVALUE(SUBSTITUTE(Data!C137,"-"," ")),""))))</f>
        <v/>
      </c>
      <c r="B137" s="2">
        <f>IF(Data!A137="","",IF(ISNUMBER(Data!D137),Data!D137,IFERROR(DATEVALUE(Data!D137),IFERROR(DATEVALUE(SUBSTITUTE(Data!D137,"-"," ")),""))))</f>
        <v/>
      </c>
      <c r="C137">
        <f>IF(Data!A137="","",IF(AND(A137="",B137=""),"Undated",IF(AND(A137&lt;&gt;"",TODAY()&lt;A137),"Upcoming",IF(AND(B137&lt;&gt;"",TODAY()&gt;B137),"Completed","Active"))))</f>
        <v/>
      </c>
    </row>
    <row r="138">
      <c r="A138" s="2">
        <f>IF(Data!A138="","",IF(ISNUMBER(Data!C138),Data!C138,IFERROR(DATEVALUE(Data!C138),IFERROR(DATEVALUE(SUBSTITUTE(Data!C138,"-"," ")),""))))</f>
        <v/>
      </c>
      <c r="B138" s="2">
        <f>IF(Data!A138="","",IF(ISNUMBER(Data!D138),Data!D138,IFERROR(DATEVALUE(Data!D138),IFERROR(DATEVALUE(SUBSTITUTE(Data!D138,"-"," ")),""))))</f>
        <v/>
      </c>
      <c r="C138">
        <f>IF(Data!A138="","",IF(AND(A138="",B138=""),"Undated",IF(AND(A138&lt;&gt;"",TODAY()&lt;A138),"Upcoming",IF(AND(B138&lt;&gt;"",TODAY()&gt;B138),"Completed","Active"))))</f>
        <v/>
      </c>
    </row>
    <row r="139">
      <c r="A139" s="2">
        <f>IF(Data!A139="","",IF(ISNUMBER(Data!C139),Data!C139,IFERROR(DATEVALUE(Data!C139),IFERROR(DATEVALUE(SUBSTITUTE(Data!C139,"-"," ")),""))))</f>
        <v/>
      </c>
      <c r="B139" s="2">
        <f>IF(Data!A139="","",IF(ISNUMBER(Data!D139),Data!D139,IFERROR(DATEVALUE(Data!D139),IFERROR(DATEVALUE(SUBSTITUTE(Data!D139,"-"," ")),""))))</f>
        <v/>
      </c>
      <c r="C139">
        <f>IF(Data!A139="","",IF(AND(A139="",B139=""),"Undated",IF(AND(A139&lt;&gt;"",TODAY()&lt;A139),"Upcoming",IF(AND(B139&lt;&gt;"",TODAY()&gt;B139),"Completed","Active"))))</f>
        <v/>
      </c>
    </row>
    <row r="140">
      <c r="A140" s="2">
        <f>IF(Data!A140="","",IF(ISNUMBER(Data!C140),Data!C140,IFERROR(DATEVALUE(Data!C140),IFERROR(DATEVALUE(SUBSTITUTE(Data!C140,"-"," ")),""))))</f>
        <v/>
      </c>
      <c r="B140" s="2">
        <f>IF(Data!A140="","",IF(ISNUMBER(Data!D140),Data!D140,IFERROR(DATEVALUE(Data!D140),IFERROR(DATEVALUE(SUBSTITUTE(Data!D140,"-"," ")),""))))</f>
        <v/>
      </c>
      <c r="C140">
        <f>IF(Data!A140="","",IF(AND(A140="",B140=""),"Undated",IF(AND(A140&lt;&gt;"",TODAY()&lt;A140),"Upcoming",IF(AND(B140&lt;&gt;"",TODAY()&gt;B140),"Completed","Active"))))</f>
        <v/>
      </c>
    </row>
    <row r="141">
      <c r="A141" s="2">
        <f>IF(Data!A141="","",IF(ISNUMBER(Data!C141),Data!C141,IFERROR(DATEVALUE(Data!C141),IFERROR(DATEVALUE(SUBSTITUTE(Data!C141,"-"," ")),""))))</f>
        <v/>
      </c>
      <c r="B141" s="2">
        <f>IF(Data!A141="","",IF(ISNUMBER(Data!D141),Data!D141,IFERROR(DATEVALUE(Data!D141),IFERROR(DATEVALUE(SUBSTITUTE(Data!D141,"-"," ")),""))))</f>
        <v/>
      </c>
      <c r="C141">
        <f>IF(Data!A141="","",IF(AND(A141="",B141=""),"Undated",IF(AND(A141&lt;&gt;"",TODAY()&lt;A141),"Upcoming",IF(AND(B141&lt;&gt;"",TODAY()&gt;B141),"Completed","Active"))))</f>
        <v/>
      </c>
    </row>
    <row r="142">
      <c r="A142" s="2">
        <f>IF(Data!A142="","",IF(ISNUMBER(Data!C142),Data!C142,IFERROR(DATEVALUE(Data!C142),IFERROR(DATEVALUE(SUBSTITUTE(Data!C142,"-"," ")),""))))</f>
        <v/>
      </c>
      <c r="B142" s="2">
        <f>IF(Data!A142="","",IF(ISNUMBER(Data!D142),Data!D142,IFERROR(DATEVALUE(Data!D142),IFERROR(DATEVALUE(SUBSTITUTE(Data!D142,"-"," ")),""))))</f>
        <v/>
      </c>
      <c r="C142">
        <f>IF(Data!A142="","",IF(AND(A142="",B142=""),"Undated",IF(AND(A142&lt;&gt;"",TODAY()&lt;A142),"Upcoming",IF(AND(B142&lt;&gt;"",TODAY()&gt;B142),"Completed","Active"))))</f>
        <v/>
      </c>
    </row>
    <row r="143">
      <c r="A143" s="2">
        <f>IF(Data!A143="","",IF(ISNUMBER(Data!C143),Data!C143,IFERROR(DATEVALUE(Data!C143),IFERROR(DATEVALUE(SUBSTITUTE(Data!C143,"-"," ")),""))))</f>
        <v/>
      </c>
      <c r="B143" s="2">
        <f>IF(Data!A143="","",IF(ISNUMBER(Data!D143),Data!D143,IFERROR(DATEVALUE(Data!D143),IFERROR(DATEVALUE(SUBSTITUTE(Data!D143,"-"," ")),""))))</f>
        <v/>
      </c>
      <c r="C143">
        <f>IF(Data!A143="","",IF(AND(A143="",B143=""),"Undated",IF(AND(A143&lt;&gt;"",TODAY()&lt;A143),"Upcoming",IF(AND(B143&lt;&gt;"",TODAY()&gt;B143),"Completed","Active"))))</f>
        <v/>
      </c>
    </row>
    <row r="144">
      <c r="A144" s="2">
        <f>IF(Data!A144="","",IF(ISNUMBER(Data!C144),Data!C144,IFERROR(DATEVALUE(Data!C144),IFERROR(DATEVALUE(SUBSTITUTE(Data!C144,"-"," ")),""))))</f>
        <v/>
      </c>
      <c r="B144" s="2">
        <f>IF(Data!A144="","",IF(ISNUMBER(Data!D144),Data!D144,IFERROR(DATEVALUE(Data!D144),IFERROR(DATEVALUE(SUBSTITUTE(Data!D144,"-"," ")),""))))</f>
        <v/>
      </c>
      <c r="C144">
        <f>IF(Data!A144="","",IF(AND(A144="",B144=""),"Undated",IF(AND(A144&lt;&gt;"",TODAY()&lt;A144),"Upcoming",IF(AND(B144&lt;&gt;"",TODAY()&gt;B144),"Completed","Active"))))</f>
        <v/>
      </c>
    </row>
    <row r="145">
      <c r="A145" s="2">
        <f>IF(Data!A145="","",IF(ISNUMBER(Data!C145),Data!C145,IFERROR(DATEVALUE(Data!C145),IFERROR(DATEVALUE(SUBSTITUTE(Data!C145,"-"," ")),""))))</f>
        <v/>
      </c>
      <c r="B145" s="2">
        <f>IF(Data!A145="","",IF(ISNUMBER(Data!D145),Data!D145,IFERROR(DATEVALUE(Data!D145),IFERROR(DATEVALUE(SUBSTITUTE(Data!D145,"-"," ")),""))))</f>
        <v/>
      </c>
      <c r="C145">
        <f>IF(Data!A145="","",IF(AND(A145="",B145=""),"Undated",IF(AND(A145&lt;&gt;"",TODAY()&lt;A145),"Upcoming",IF(AND(B145&lt;&gt;"",TODAY()&gt;B145),"Completed","Active"))))</f>
        <v/>
      </c>
    </row>
    <row r="146">
      <c r="A146" s="2">
        <f>IF(Data!A146="","",IF(ISNUMBER(Data!C146),Data!C146,IFERROR(DATEVALUE(Data!C146),IFERROR(DATEVALUE(SUBSTITUTE(Data!C146,"-"," ")),""))))</f>
        <v/>
      </c>
      <c r="B146" s="2">
        <f>IF(Data!A146="","",IF(ISNUMBER(Data!D146),Data!D146,IFERROR(DATEVALUE(Data!D146),IFERROR(DATEVALUE(SUBSTITUTE(Data!D146,"-"," ")),""))))</f>
        <v/>
      </c>
      <c r="C146">
        <f>IF(Data!A146="","",IF(AND(A146="",B146=""),"Undated",IF(AND(A146&lt;&gt;"",TODAY()&lt;A146),"Upcoming",IF(AND(B146&lt;&gt;"",TODAY()&gt;B146),"Completed","Active"))))</f>
        <v/>
      </c>
    </row>
    <row r="147">
      <c r="A147" s="2">
        <f>IF(Data!A147="","",IF(ISNUMBER(Data!C147),Data!C147,IFERROR(DATEVALUE(Data!C147),IFERROR(DATEVALUE(SUBSTITUTE(Data!C147,"-"," ")),""))))</f>
        <v/>
      </c>
      <c r="B147" s="2">
        <f>IF(Data!A147="","",IF(ISNUMBER(Data!D147),Data!D147,IFERROR(DATEVALUE(Data!D147),IFERROR(DATEVALUE(SUBSTITUTE(Data!D147,"-"," ")),""))))</f>
        <v/>
      </c>
      <c r="C147">
        <f>IF(Data!A147="","",IF(AND(A147="",B147=""),"Undated",IF(AND(A147&lt;&gt;"",TODAY()&lt;A147),"Upcoming",IF(AND(B147&lt;&gt;"",TODAY()&gt;B147),"Completed","Active"))))</f>
        <v/>
      </c>
    </row>
    <row r="148">
      <c r="A148" s="2">
        <f>IF(Data!A148="","",IF(ISNUMBER(Data!C148),Data!C148,IFERROR(DATEVALUE(Data!C148),IFERROR(DATEVALUE(SUBSTITUTE(Data!C148,"-"," ")),""))))</f>
        <v/>
      </c>
      <c r="B148" s="2">
        <f>IF(Data!A148="","",IF(ISNUMBER(Data!D148),Data!D148,IFERROR(DATEVALUE(Data!D148),IFERROR(DATEVALUE(SUBSTITUTE(Data!D148,"-"," ")),""))))</f>
        <v/>
      </c>
      <c r="C148">
        <f>IF(Data!A148="","",IF(AND(A148="",B148=""),"Undated",IF(AND(A148&lt;&gt;"",TODAY()&lt;A148),"Upcoming",IF(AND(B148&lt;&gt;"",TODAY()&gt;B148),"Completed","Active"))))</f>
        <v/>
      </c>
    </row>
    <row r="149">
      <c r="A149" s="2">
        <f>IF(Data!A149="","",IF(ISNUMBER(Data!C149),Data!C149,IFERROR(DATEVALUE(Data!C149),IFERROR(DATEVALUE(SUBSTITUTE(Data!C149,"-"," ")),""))))</f>
        <v/>
      </c>
      <c r="B149" s="2">
        <f>IF(Data!A149="","",IF(ISNUMBER(Data!D149),Data!D149,IFERROR(DATEVALUE(Data!D149),IFERROR(DATEVALUE(SUBSTITUTE(Data!D149,"-"," ")),""))))</f>
        <v/>
      </c>
      <c r="C149">
        <f>IF(Data!A149="","",IF(AND(A149="",B149=""),"Undated",IF(AND(A149&lt;&gt;"",TODAY()&lt;A149),"Upcoming",IF(AND(B149&lt;&gt;"",TODAY()&gt;B149),"Completed","Active"))))</f>
        <v/>
      </c>
    </row>
    <row r="150">
      <c r="A150" s="2">
        <f>IF(Data!A150="","",IF(ISNUMBER(Data!C150),Data!C150,IFERROR(DATEVALUE(Data!C150),IFERROR(DATEVALUE(SUBSTITUTE(Data!C150,"-"," ")),""))))</f>
        <v/>
      </c>
      <c r="B150" s="2">
        <f>IF(Data!A150="","",IF(ISNUMBER(Data!D150),Data!D150,IFERROR(DATEVALUE(Data!D150),IFERROR(DATEVALUE(SUBSTITUTE(Data!D150,"-"," ")),""))))</f>
        <v/>
      </c>
      <c r="C150">
        <f>IF(Data!A150="","",IF(AND(A150="",B150=""),"Undated",IF(AND(A150&lt;&gt;"",TODAY()&lt;A150),"Upcoming",IF(AND(B150&lt;&gt;"",TODAY()&gt;B150),"Completed","Active"))))</f>
        <v/>
      </c>
    </row>
    <row r="151">
      <c r="A151" s="2">
        <f>IF(Data!A151="","",IF(ISNUMBER(Data!C151),Data!C151,IFERROR(DATEVALUE(Data!C151),IFERROR(DATEVALUE(SUBSTITUTE(Data!C151,"-"," ")),""))))</f>
        <v/>
      </c>
      <c r="B151" s="2">
        <f>IF(Data!A151="","",IF(ISNUMBER(Data!D151),Data!D151,IFERROR(DATEVALUE(Data!D151),IFERROR(DATEVALUE(SUBSTITUTE(Data!D151,"-"," ")),""))))</f>
        <v/>
      </c>
      <c r="C151">
        <f>IF(Data!A151="","",IF(AND(A151="",B151=""),"Undated",IF(AND(A151&lt;&gt;"",TODAY()&lt;A151),"Upcoming",IF(AND(B151&lt;&gt;"",TODAY()&gt;B151),"Completed","Active"))))</f>
        <v/>
      </c>
    </row>
    <row r="152">
      <c r="A152" s="2">
        <f>IF(Data!A152="","",IF(ISNUMBER(Data!C152),Data!C152,IFERROR(DATEVALUE(Data!C152),IFERROR(DATEVALUE(SUBSTITUTE(Data!C152,"-"," ")),""))))</f>
        <v/>
      </c>
      <c r="B152" s="2">
        <f>IF(Data!A152="","",IF(ISNUMBER(Data!D152),Data!D152,IFERROR(DATEVALUE(Data!D152),IFERROR(DATEVALUE(SUBSTITUTE(Data!D152,"-"," ")),""))))</f>
        <v/>
      </c>
      <c r="C152">
        <f>IF(Data!A152="","",IF(AND(A152="",B152=""),"Undated",IF(AND(A152&lt;&gt;"",TODAY()&lt;A152),"Upcoming",IF(AND(B152&lt;&gt;"",TODAY()&gt;B152),"Completed","Active"))))</f>
        <v/>
      </c>
    </row>
    <row r="153">
      <c r="A153" s="2">
        <f>IF(Data!A153="","",IF(ISNUMBER(Data!C153),Data!C153,IFERROR(DATEVALUE(Data!C153),IFERROR(DATEVALUE(SUBSTITUTE(Data!C153,"-"," ")),""))))</f>
        <v/>
      </c>
      <c r="B153" s="2">
        <f>IF(Data!A153="","",IF(ISNUMBER(Data!D153),Data!D153,IFERROR(DATEVALUE(Data!D153),IFERROR(DATEVALUE(SUBSTITUTE(Data!D153,"-"," ")),""))))</f>
        <v/>
      </c>
      <c r="C153">
        <f>IF(Data!A153="","",IF(AND(A153="",B153=""),"Undated",IF(AND(A153&lt;&gt;"",TODAY()&lt;A153),"Upcoming",IF(AND(B153&lt;&gt;"",TODAY()&gt;B153),"Completed","Active"))))</f>
        <v/>
      </c>
    </row>
    <row r="154">
      <c r="A154" s="2">
        <f>IF(Data!A154="","",IF(ISNUMBER(Data!C154),Data!C154,IFERROR(DATEVALUE(Data!C154),IFERROR(DATEVALUE(SUBSTITUTE(Data!C154,"-"," ")),""))))</f>
        <v/>
      </c>
      <c r="B154" s="2">
        <f>IF(Data!A154="","",IF(ISNUMBER(Data!D154),Data!D154,IFERROR(DATEVALUE(Data!D154),IFERROR(DATEVALUE(SUBSTITUTE(Data!D154,"-"," ")),""))))</f>
        <v/>
      </c>
      <c r="C154">
        <f>IF(Data!A154="","",IF(AND(A154="",B154=""),"Undated",IF(AND(A154&lt;&gt;"",TODAY()&lt;A154),"Upcoming",IF(AND(B154&lt;&gt;"",TODAY()&gt;B154),"Completed","Active"))))</f>
        <v/>
      </c>
    </row>
    <row r="155">
      <c r="A155" s="2">
        <f>IF(Data!A155="","",IF(ISNUMBER(Data!C155),Data!C155,IFERROR(DATEVALUE(Data!C155),IFERROR(DATEVALUE(SUBSTITUTE(Data!C155,"-"," ")),""))))</f>
        <v/>
      </c>
      <c r="B155" s="2">
        <f>IF(Data!A155="","",IF(ISNUMBER(Data!D155),Data!D155,IFERROR(DATEVALUE(Data!D155),IFERROR(DATEVALUE(SUBSTITUTE(Data!D155,"-"," ")),""))))</f>
        <v/>
      </c>
      <c r="C155">
        <f>IF(Data!A155="","",IF(AND(A155="",B155=""),"Undated",IF(AND(A155&lt;&gt;"",TODAY()&lt;A155),"Upcoming",IF(AND(B155&lt;&gt;"",TODAY()&gt;B155),"Completed","Active"))))</f>
        <v/>
      </c>
    </row>
    <row r="156">
      <c r="A156" s="2">
        <f>IF(Data!A156="","",IF(ISNUMBER(Data!C156),Data!C156,IFERROR(DATEVALUE(Data!C156),IFERROR(DATEVALUE(SUBSTITUTE(Data!C156,"-"," ")),""))))</f>
        <v/>
      </c>
      <c r="B156" s="2">
        <f>IF(Data!A156="","",IF(ISNUMBER(Data!D156),Data!D156,IFERROR(DATEVALUE(Data!D156),IFERROR(DATEVALUE(SUBSTITUTE(Data!D156,"-"," ")),""))))</f>
        <v/>
      </c>
      <c r="C156">
        <f>IF(Data!A156="","",IF(AND(A156="",B156=""),"Undated",IF(AND(A156&lt;&gt;"",TODAY()&lt;A156),"Upcoming",IF(AND(B156&lt;&gt;"",TODAY()&gt;B156),"Completed","Active"))))</f>
        <v/>
      </c>
    </row>
    <row r="157">
      <c r="A157" s="2">
        <f>IF(Data!A157="","",IF(ISNUMBER(Data!C157),Data!C157,IFERROR(DATEVALUE(Data!C157),IFERROR(DATEVALUE(SUBSTITUTE(Data!C157,"-"," ")),""))))</f>
        <v/>
      </c>
      <c r="B157" s="2">
        <f>IF(Data!A157="","",IF(ISNUMBER(Data!D157),Data!D157,IFERROR(DATEVALUE(Data!D157),IFERROR(DATEVALUE(SUBSTITUTE(Data!D157,"-"," ")),""))))</f>
        <v/>
      </c>
      <c r="C157">
        <f>IF(Data!A157="","",IF(AND(A157="",B157=""),"Undated",IF(AND(A157&lt;&gt;"",TODAY()&lt;A157),"Upcoming",IF(AND(B157&lt;&gt;"",TODAY()&gt;B157),"Completed","Active"))))</f>
        <v/>
      </c>
    </row>
    <row r="158">
      <c r="A158" s="2">
        <f>IF(Data!A158="","",IF(ISNUMBER(Data!C158),Data!C158,IFERROR(DATEVALUE(Data!C158),IFERROR(DATEVALUE(SUBSTITUTE(Data!C158,"-"," ")),""))))</f>
        <v/>
      </c>
      <c r="B158" s="2">
        <f>IF(Data!A158="","",IF(ISNUMBER(Data!D158),Data!D158,IFERROR(DATEVALUE(Data!D158),IFERROR(DATEVALUE(SUBSTITUTE(Data!D158,"-"," ")),""))))</f>
        <v/>
      </c>
      <c r="C158">
        <f>IF(Data!A158="","",IF(AND(A158="",B158=""),"Undated",IF(AND(A158&lt;&gt;"",TODAY()&lt;A158),"Upcoming",IF(AND(B158&lt;&gt;"",TODAY()&gt;B158),"Completed","Active"))))</f>
        <v/>
      </c>
    </row>
    <row r="159">
      <c r="A159" s="2">
        <f>IF(Data!A159="","",IF(ISNUMBER(Data!C159),Data!C159,IFERROR(DATEVALUE(Data!C159),IFERROR(DATEVALUE(SUBSTITUTE(Data!C159,"-"," ")),""))))</f>
        <v/>
      </c>
      <c r="B159" s="2">
        <f>IF(Data!A159="","",IF(ISNUMBER(Data!D159),Data!D159,IFERROR(DATEVALUE(Data!D159),IFERROR(DATEVALUE(SUBSTITUTE(Data!D159,"-"," ")),""))))</f>
        <v/>
      </c>
      <c r="C159">
        <f>IF(Data!A159="","",IF(AND(A159="",B159=""),"Undated",IF(AND(A159&lt;&gt;"",TODAY()&lt;A159),"Upcoming",IF(AND(B159&lt;&gt;"",TODAY()&gt;B159),"Completed","Active"))))</f>
        <v/>
      </c>
    </row>
    <row r="160">
      <c r="A160" s="2">
        <f>IF(Data!A160="","",IF(ISNUMBER(Data!C160),Data!C160,IFERROR(DATEVALUE(Data!C160),IFERROR(DATEVALUE(SUBSTITUTE(Data!C160,"-"," ")),""))))</f>
        <v/>
      </c>
      <c r="B160" s="2">
        <f>IF(Data!A160="","",IF(ISNUMBER(Data!D160),Data!D160,IFERROR(DATEVALUE(Data!D160),IFERROR(DATEVALUE(SUBSTITUTE(Data!D160,"-"," ")),""))))</f>
        <v/>
      </c>
      <c r="C160">
        <f>IF(Data!A160="","",IF(AND(A160="",B160=""),"Undated",IF(AND(A160&lt;&gt;"",TODAY()&lt;A160),"Upcoming",IF(AND(B160&lt;&gt;"",TODAY()&gt;B160),"Completed","Active"))))</f>
        <v/>
      </c>
    </row>
    <row r="161">
      <c r="A161" s="2">
        <f>IF(Data!A161="","",IF(ISNUMBER(Data!C161),Data!C161,IFERROR(DATEVALUE(Data!C161),IFERROR(DATEVALUE(SUBSTITUTE(Data!C161,"-"," ")),""))))</f>
        <v/>
      </c>
      <c r="B161" s="2">
        <f>IF(Data!A161="","",IF(ISNUMBER(Data!D161),Data!D161,IFERROR(DATEVALUE(Data!D161),IFERROR(DATEVALUE(SUBSTITUTE(Data!D161,"-"," ")),""))))</f>
        <v/>
      </c>
      <c r="C161">
        <f>IF(Data!A161="","",IF(AND(A161="",B161=""),"Undated",IF(AND(A161&lt;&gt;"",TODAY()&lt;A161),"Upcoming",IF(AND(B161&lt;&gt;"",TODAY()&gt;B161),"Completed","Active"))))</f>
        <v/>
      </c>
    </row>
    <row r="162">
      <c r="A162" s="2">
        <f>IF(Data!A162="","",IF(ISNUMBER(Data!C162),Data!C162,IFERROR(DATEVALUE(Data!C162),IFERROR(DATEVALUE(SUBSTITUTE(Data!C162,"-"," ")),""))))</f>
        <v/>
      </c>
      <c r="B162" s="2">
        <f>IF(Data!A162="","",IF(ISNUMBER(Data!D162),Data!D162,IFERROR(DATEVALUE(Data!D162),IFERROR(DATEVALUE(SUBSTITUTE(Data!D162,"-"," ")),""))))</f>
        <v/>
      </c>
      <c r="C162">
        <f>IF(Data!A162="","",IF(AND(A162="",B162=""),"Undated",IF(AND(A162&lt;&gt;"",TODAY()&lt;A162),"Upcoming",IF(AND(B162&lt;&gt;"",TODAY()&gt;B162),"Completed","Active"))))</f>
        <v/>
      </c>
    </row>
    <row r="163">
      <c r="A163" s="2">
        <f>IF(Data!A163="","",IF(ISNUMBER(Data!C163),Data!C163,IFERROR(DATEVALUE(Data!C163),IFERROR(DATEVALUE(SUBSTITUTE(Data!C163,"-"," ")),""))))</f>
        <v/>
      </c>
      <c r="B163" s="2">
        <f>IF(Data!A163="","",IF(ISNUMBER(Data!D163),Data!D163,IFERROR(DATEVALUE(Data!D163),IFERROR(DATEVALUE(SUBSTITUTE(Data!D163,"-"," ")),""))))</f>
        <v/>
      </c>
      <c r="C163">
        <f>IF(Data!A163="","",IF(AND(A163="",B163=""),"Undated",IF(AND(A163&lt;&gt;"",TODAY()&lt;A163),"Upcoming",IF(AND(B163&lt;&gt;"",TODAY()&gt;B163),"Completed","Active"))))</f>
        <v/>
      </c>
    </row>
    <row r="164">
      <c r="A164" s="2">
        <f>IF(Data!A164="","",IF(ISNUMBER(Data!C164),Data!C164,IFERROR(DATEVALUE(Data!C164),IFERROR(DATEVALUE(SUBSTITUTE(Data!C164,"-"," ")),""))))</f>
        <v/>
      </c>
      <c r="B164" s="2">
        <f>IF(Data!A164="","",IF(ISNUMBER(Data!D164),Data!D164,IFERROR(DATEVALUE(Data!D164),IFERROR(DATEVALUE(SUBSTITUTE(Data!D164,"-"," ")),""))))</f>
        <v/>
      </c>
      <c r="C164">
        <f>IF(Data!A164="","",IF(AND(A164="",B164=""),"Undated",IF(AND(A164&lt;&gt;"",TODAY()&lt;A164),"Upcoming",IF(AND(B164&lt;&gt;"",TODAY()&gt;B164),"Completed","Active"))))</f>
        <v/>
      </c>
    </row>
    <row r="165">
      <c r="A165" s="2">
        <f>IF(Data!A165="","",IF(ISNUMBER(Data!C165),Data!C165,IFERROR(DATEVALUE(Data!C165),IFERROR(DATEVALUE(SUBSTITUTE(Data!C165,"-"," ")),""))))</f>
        <v/>
      </c>
      <c r="B165" s="2">
        <f>IF(Data!A165="","",IF(ISNUMBER(Data!D165),Data!D165,IFERROR(DATEVALUE(Data!D165),IFERROR(DATEVALUE(SUBSTITUTE(Data!D165,"-"," ")),""))))</f>
        <v/>
      </c>
      <c r="C165">
        <f>IF(Data!A165="","",IF(AND(A165="",B165=""),"Undated",IF(AND(A165&lt;&gt;"",TODAY()&lt;A165),"Upcoming",IF(AND(B165&lt;&gt;"",TODAY()&gt;B165),"Completed","Active"))))</f>
        <v/>
      </c>
    </row>
    <row r="166">
      <c r="A166" s="2">
        <f>IF(Data!A166="","",IF(ISNUMBER(Data!C166),Data!C166,IFERROR(DATEVALUE(Data!C166),IFERROR(DATEVALUE(SUBSTITUTE(Data!C166,"-"," ")),""))))</f>
        <v/>
      </c>
      <c r="B166" s="2">
        <f>IF(Data!A166="","",IF(ISNUMBER(Data!D166),Data!D166,IFERROR(DATEVALUE(Data!D166),IFERROR(DATEVALUE(SUBSTITUTE(Data!D166,"-"," ")),""))))</f>
        <v/>
      </c>
      <c r="C166">
        <f>IF(Data!A166="","",IF(AND(A166="",B166=""),"Undated",IF(AND(A166&lt;&gt;"",TODAY()&lt;A166),"Upcoming",IF(AND(B166&lt;&gt;"",TODAY()&gt;B166),"Completed","Active"))))</f>
        <v/>
      </c>
    </row>
    <row r="167">
      <c r="A167" s="2">
        <f>IF(Data!A167="","",IF(ISNUMBER(Data!C167),Data!C167,IFERROR(DATEVALUE(Data!C167),IFERROR(DATEVALUE(SUBSTITUTE(Data!C167,"-"," ")),""))))</f>
        <v/>
      </c>
      <c r="B167" s="2">
        <f>IF(Data!A167="","",IF(ISNUMBER(Data!D167),Data!D167,IFERROR(DATEVALUE(Data!D167),IFERROR(DATEVALUE(SUBSTITUTE(Data!D167,"-"," ")),""))))</f>
        <v/>
      </c>
      <c r="C167">
        <f>IF(Data!A167="","",IF(AND(A167="",B167=""),"Undated",IF(AND(A167&lt;&gt;"",TODAY()&lt;A167),"Upcoming",IF(AND(B167&lt;&gt;"",TODAY()&gt;B167),"Completed","Active"))))</f>
        <v/>
      </c>
    </row>
    <row r="168">
      <c r="A168" s="2">
        <f>IF(Data!A168="","",IF(ISNUMBER(Data!C168),Data!C168,IFERROR(DATEVALUE(Data!C168),IFERROR(DATEVALUE(SUBSTITUTE(Data!C168,"-"," ")),""))))</f>
        <v/>
      </c>
      <c r="B168" s="2">
        <f>IF(Data!A168="","",IF(ISNUMBER(Data!D168),Data!D168,IFERROR(DATEVALUE(Data!D168),IFERROR(DATEVALUE(SUBSTITUTE(Data!D168,"-"," ")),""))))</f>
        <v/>
      </c>
      <c r="C168">
        <f>IF(Data!A168="","",IF(AND(A168="",B168=""),"Undated",IF(AND(A168&lt;&gt;"",TODAY()&lt;A168),"Upcoming",IF(AND(B168&lt;&gt;"",TODAY()&gt;B168),"Completed","Active"))))</f>
        <v/>
      </c>
    </row>
    <row r="169">
      <c r="A169" s="2">
        <f>IF(Data!A169="","",IF(ISNUMBER(Data!C169),Data!C169,IFERROR(DATEVALUE(Data!C169),IFERROR(DATEVALUE(SUBSTITUTE(Data!C169,"-"," ")),""))))</f>
        <v/>
      </c>
      <c r="B169" s="2">
        <f>IF(Data!A169="","",IF(ISNUMBER(Data!D169),Data!D169,IFERROR(DATEVALUE(Data!D169),IFERROR(DATEVALUE(SUBSTITUTE(Data!D169,"-"," ")),""))))</f>
        <v/>
      </c>
      <c r="C169">
        <f>IF(Data!A169="","",IF(AND(A169="",B169=""),"Undated",IF(AND(A169&lt;&gt;"",TODAY()&lt;A169),"Upcoming",IF(AND(B169&lt;&gt;"",TODAY()&gt;B169),"Completed","Active"))))</f>
        <v/>
      </c>
    </row>
    <row r="170">
      <c r="A170" s="2">
        <f>IF(Data!A170="","",IF(ISNUMBER(Data!C170),Data!C170,IFERROR(DATEVALUE(Data!C170),IFERROR(DATEVALUE(SUBSTITUTE(Data!C170,"-"," ")),""))))</f>
        <v/>
      </c>
      <c r="B170" s="2">
        <f>IF(Data!A170="","",IF(ISNUMBER(Data!D170),Data!D170,IFERROR(DATEVALUE(Data!D170),IFERROR(DATEVALUE(SUBSTITUTE(Data!D170,"-"," ")),""))))</f>
        <v/>
      </c>
      <c r="C170">
        <f>IF(Data!A170="","",IF(AND(A170="",B170=""),"Undated",IF(AND(A170&lt;&gt;"",TODAY()&lt;A170),"Upcoming",IF(AND(B170&lt;&gt;"",TODAY()&gt;B170),"Completed","Active"))))</f>
        <v/>
      </c>
    </row>
    <row r="171">
      <c r="A171" s="2">
        <f>IF(Data!A171="","",IF(ISNUMBER(Data!C171),Data!C171,IFERROR(DATEVALUE(Data!C171),IFERROR(DATEVALUE(SUBSTITUTE(Data!C171,"-"," ")),""))))</f>
        <v/>
      </c>
      <c r="B171" s="2">
        <f>IF(Data!A171="","",IF(ISNUMBER(Data!D171),Data!D171,IFERROR(DATEVALUE(Data!D171),IFERROR(DATEVALUE(SUBSTITUTE(Data!D171,"-"," ")),""))))</f>
        <v/>
      </c>
      <c r="C171">
        <f>IF(Data!A171="","",IF(AND(A171="",B171=""),"Undated",IF(AND(A171&lt;&gt;"",TODAY()&lt;A171),"Upcoming",IF(AND(B171&lt;&gt;"",TODAY()&gt;B171),"Completed","Active"))))</f>
        <v/>
      </c>
    </row>
    <row r="172">
      <c r="A172" s="2">
        <f>IF(Data!A172="","",IF(ISNUMBER(Data!C172),Data!C172,IFERROR(DATEVALUE(Data!C172),IFERROR(DATEVALUE(SUBSTITUTE(Data!C172,"-"," ")),""))))</f>
        <v/>
      </c>
      <c r="B172" s="2">
        <f>IF(Data!A172="","",IF(ISNUMBER(Data!D172),Data!D172,IFERROR(DATEVALUE(Data!D172),IFERROR(DATEVALUE(SUBSTITUTE(Data!D172,"-"," ")),""))))</f>
        <v/>
      </c>
      <c r="C172">
        <f>IF(Data!A172="","",IF(AND(A172="",B172=""),"Undated",IF(AND(A172&lt;&gt;"",TODAY()&lt;A172),"Upcoming",IF(AND(B172&lt;&gt;"",TODAY()&gt;B172),"Completed","Active"))))</f>
        <v/>
      </c>
    </row>
    <row r="173">
      <c r="A173" s="2">
        <f>IF(Data!A173="","",IF(ISNUMBER(Data!C173),Data!C173,IFERROR(DATEVALUE(Data!C173),IFERROR(DATEVALUE(SUBSTITUTE(Data!C173,"-"," ")),""))))</f>
        <v/>
      </c>
      <c r="B173" s="2">
        <f>IF(Data!A173="","",IF(ISNUMBER(Data!D173),Data!D173,IFERROR(DATEVALUE(Data!D173),IFERROR(DATEVALUE(SUBSTITUTE(Data!D173,"-"," ")),""))))</f>
        <v/>
      </c>
      <c r="C173">
        <f>IF(Data!A173="","",IF(AND(A173="",B173=""),"Undated",IF(AND(A173&lt;&gt;"",TODAY()&lt;A173),"Upcoming",IF(AND(B173&lt;&gt;"",TODAY()&gt;B173),"Completed","Active"))))</f>
        <v/>
      </c>
    </row>
    <row r="174">
      <c r="A174" s="2">
        <f>IF(Data!A174="","",IF(ISNUMBER(Data!C174),Data!C174,IFERROR(DATEVALUE(Data!C174),IFERROR(DATEVALUE(SUBSTITUTE(Data!C174,"-"," ")),""))))</f>
        <v/>
      </c>
      <c r="B174" s="2">
        <f>IF(Data!A174="","",IF(ISNUMBER(Data!D174),Data!D174,IFERROR(DATEVALUE(Data!D174),IFERROR(DATEVALUE(SUBSTITUTE(Data!D174,"-"," ")),""))))</f>
        <v/>
      </c>
      <c r="C174">
        <f>IF(Data!A174="","",IF(AND(A174="",B174=""),"Undated",IF(AND(A174&lt;&gt;"",TODAY()&lt;A174),"Upcoming",IF(AND(B174&lt;&gt;"",TODAY()&gt;B174),"Completed","Active"))))</f>
        <v/>
      </c>
    </row>
    <row r="175">
      <c r="A175" s="2">
        <f>IF(Data!A175="","",IF(ISNUMBER(Data!C175),Data!C175,IFERROR(DATEVALUE(Data!C175),IFERROR(DATEVALUE(SUBSTITUTE(Data!C175,"-"," ")),""))))</f>
        <v/>
      </c>
      <c r="B175" s="2">
        <f>IF(Data!A175="","",IF(ISNUMBER(Data!D175),Data!D175,IFERROR(DATEVALUE(Data!D175),IFERROR(DATEVALUE(SUBSTITUTE(Data!D175,"-"," ")),""))))</f>
        <v/>
      </c>
      <c r="C175">
        <f>IF(Data!A175="","",IF(AND(A175="",B175=""),"Undated",IF(AND(A175&lt;&gt;"",TODAY()&lt;A175),"Upcoming",IF(AND(B175&lt;&gt;"",TODAY()&gt;B175),"Completed","Active"))))</f>
        <v/>
      </c>
    </row>
    <row r="176">
      <c r="A176" s="2">
        <f>IF(Data!A176="","",IF(ISNUMBER(Data!C176),Data!C176,IFERROR(DATEVALUE(Data!C176),IFERROR(DATEVALUE(SUBSTITUTE(Data!C176,"-"," ")),""))))</f>
        <v/>
      </c>
      <c r="B176" s="2">
        <f>IF(Data!A176="","",IF(ISNUMBER(Data!D176),Data!D176,IFERROR(DATEVALUE(Data!D176),IFERROR(DATEVALUE(SUBSTITUTE(Data!D176,"-"," ")),""))))</f>
        <v/>
      </c>
      <c r="C176">
        <f>IF(Data!A176="","",IF(AND(A176="",B176=""),"Undated",IF(AND(A176&lt;&gt;"",TODAY()&lt;A176),"Upcoming",IF(AND(B176&lt;&gt;"",TODAY()&gt;B176),"Completed","Active"))))</f>
        <v/>
      </c>
    </row>
    <row r="177">
      <c r="A177" s="2">
        <f>IF(Data!A177="","",IF(ISNUMBER(Data!C177),Data!C177,IFERROR(DATEVALUE(Data!C177),IFERROR(DATEVALUE(SUBSTITUTE(Data!C177,"-"," ")),""))))</f>
        <v/>
      </c>
      <c r="B177" s="2">
        <f>IF(Data!A177="","",IF(ISNUMBER(Data!D177),Data!D177,IFERROR(DATEVALUE(Data!D177),IFERROR(DATEVALUE(SUBSTITUTE(Data!D177,"-"," ")),""))))</f>
        <v/>
      </c>
      <c r="C177">
        <f>IF(Data!A177="","",IF(AND(A177="",B177=""),"Undated",IF(AND(A177&lt;&gt;"",TODAY()&lt;A177),"Upcoming",IF(AND(B177&lt;&gt;"",TODAY()&gt;B177),"Completed","Active"))))</f>
        <v/>
      </c>
    </row>
    <row r="178">
      <c r="A178" s="2">
        <f>IF(Data!A178="","",IF(ISNUMBER(Data!C178),Data!C178,IFERROR(DATEVALUE(Data!C178),IFERROR(DATEVALUE(SUBSTITUTE(Data!C178,"-"," ")),""))))</f>
        <v/>
      </c>
      <c r="B178" s="2">
        <f>IF(Data!A178="","",IF(ISNUMBER(Data!D178),Data!D178,IFERROR(DATEVALUE(Data!D178),IFERROR(DATEVALUE(SUBSTITUTE(Data!D178,"-"," ")),""))))</f>
        <v/>
      </c>
      <c r="C178">
        <f>IF(Data!A178="","",IF(AND(A178="",B178=""),"Undated",IF(AND(A178&lt;&gt;"",TODAY()&lt;A178),"Upcoming",IF(AND(B178&lt;&gt;"",TODAY()&gt;B178),"Completed","Active"))))</f>
        <v/>
      </c>
    </row>
    <row r="179">
      <c r="A179" s="2">
        <f>IF(Data!A179="","",IF(ISNUMBER(Data!C179),Data!C179,IFERROR(DATEVALUE(Data!C179),IFERROR(DATEVALUE(SUBSTITUTE(Data!C179,"-"," ")),""))))</f>
        <v/>
      </c>
      <c r="B179" s="2">
        <f>IF(Data!A179="","",IF(ISNUMBER(Data!D179),Data!D179,IFERROR(DATEVALUE(Data!D179),IFERROR(DATEVALUE(SUBSTITUTE(Data!D179,"-"," ")),""))))</f>
        <v/>
      </c>
      <c r="C179">
        <f>IF(Data!A179="","",IF(AND(A179="",B179=""),"Undated",IF(AND(A179&lt;&gt;"",TODAY()&lt;A179),"Upcoming",IF(AND(B179&lt;&gt;"",TODAY()&gt;B179),"Completed","Active"))))</f>
        <v/>
      </c>
    </row>
    <row r="180">
      <c r="A180" s="2">
        <f>IF(Data!A180="","",IF(ISNUMBER(Data!C180),Data!C180,IFERROR(DATEVALUE(Data!C180),IFERROR(DATEVALUE(SUBSTITUTE(Data!C180,"-"," ")),""))))</f>
        <v/>
      </c>
      <c r="B180" s="2">
        <f>IF(Data!A180="","",IF(ISNUMBER(Data!D180),Data!D180,IFERROR(DATEVALUE(Data!D180),IFERROR(DATEVALUE(SUBSTITUTE(Data!D180,"-"," ")),""))))</f>
        <v/>
      </c>
      <c r="C180">
        <f>IF(Data!A180="","",IF(AND(A180="",B180=""),"Undated",IF(AND(A180&lt;&gt;"",TODAY()&lt;A180),"Upcoming",IF(AND(B180&lt;&gt;"",TODAY()&gt;B180),"Completed","Active"))))</f>
        <v/>
      </c>
    </row>
    <row r="181">
      <c r="A181" s="2">
        <f>IF(Data!A181="","",IF(ISNUMBER(Data!C181),Data!C181,IFERROR(DATEVALUE(Data!C181),IFERROR(DATEVALUE(SUBSTITUTE(Data!C181,"-"," ")),""))))</f>
        <v/>
      </c>
      <c r="B181" s="2">
        <f>IF(Data!A181="","",IF(ISNUMBER(Data!D181),Data!D181,IFERROR(DATEVALUE(Data!D181),IFERROR(DATEVALUE(SUBSTITUTE(Data!D181,"-"," ")),""))))</f>
        <v/>
      </c>
      <c r="C181">
        <f>IF(Data!A181="","",IF(AND(A181="",B181=""),"Undated",IF(AND(A181&lt;&gt;"",TODAY()&lt;A181),"Upcoming",IF(AND(B181&lt;&gt;"",TODAY()&gt;B181),"Completed","Active"))))</f>
        <v/>
      </c>
    </row>
    <row r="182">
      <c r="A182" s="2">
        <f>IF(Data!A182="","",IF(ISNUMBER(Data!C182),Data!C182,IFERROR(DATEVALUE(Data!C182),IFERROR(DATEVALUE(SUBSTITUTE(Data!C182,"-"," ")),""))))</f>
        <v/>
      </c>
      <c r="B182" s="2">
        <f>IF(Data!A182="","",IF(ISNUMBER(Data!D182),Data!D182,IFERROR(DATEVALUE(Data!D182),IFERROR(DATEVALUE(SUBSTITUTE(Data!D182,"-"," ")),""))))</f>
        <v/>
      </c>
      <c r="C182">
        <f>IF(Data!A182="","",IF(AND(A182="",B182=""),"Undated",IF(AND(A182&lt;&gt;"",TODAY()&lt;A182),"Upcoming",IF(AND(B182&lt;&gt;"",TODAY()&gt;B182),"Completed","Active"))))</f>
        <v/>
      </c>
    </row>
    <row r="183">
      <c r="A183" s="2">
        <f>IF(Data!A183="","",IF(ISNUMBER(Data!C183),Data!C183,IFERROR(DATEVALUE(Data!C183),IFERROR(DATEVALUE(SUBSTITUTE(Data!C183,"-"," ")),""))))</f>
        <v/>
      </c>
      <c r="B183" s="2">
        <f>IF(Data!A183="","",IF(ISNUMBER(Data!D183),Data!D183,IFERROR(DATEVALUE(Data!D183),IFERROR(DATEVALUE(SUBSTITUTE(Data!D183,"-"," ")),""))))</f>
        <v/>
      </c>
      <c r="C183">
        <f>IF(Data!A183="","",IF(AND(A183="",B183=""),"Undated",IF(AND(A183&lt;&gt;"",TODAY()&lt;A183),"Upcoming",IF(AND(B183&lt;&gt;"",TODAY()&gt;B183),"Completed","Active"))))</f>
        <v/>
      </c>
    </row>
    <row r="184">
      <c r="A184" s="2">
        <f>IF(Data!A184="","",IF(ISNUMBER(Data!C184),Data!C184,IFERROR(DATEVALUE(Data!C184),IFERROR(DATEVALUE(SUBSTITUTE(Data!C184,"-"," ")),""))))</f>
        <v/>
      </c>
      <c r="B184" s="2">
        <f>IF(Data!A184="","",IF(ISNUMBER(Data!D184),Data!D184,IFERROR(DATEVALUE(Data!D184),IFERROR(DATEVALUE(SUBSTITUTE(Data!D184,"-"," ")),""))))</f>
        <v/>
      </c>
      <c r="C184">
        <f>IF(Data!A184="","",IF(AND(A184="",B184=""),"Undated",IF(AND(A184&lt;&gt;"",TODAY()&lt;A184),"Upcoming",IF(AND(B184&lt;&gt;"",TODAY()&gt;B184),"Completed","Active"))))</f>
        <v/>
      </c>
    </row>
    <row r="185">
      <c r="A185" s="2">
        <f>IF(Data!A185="","",IF(ISNUMBER(Data!C185),Data!C185,IFERROR(DATEVALUE(Data!C185),IFERROR(DATEVALUE(SUBSTITUTE(Data!C185,"-"," ")),""))))</f>
        <v/>
      </c>
      <c r="B185" s="2">
        <f>IF(Data!A185="","",IF(ISNUMBER(Data!D185),Data!D185,IFERROR(DATEVALUE(Data!D185),IFERROR(DATEVALUE(SUBSTITUTE(Data!D185,"-"," ")),""))))</f>
        <v/>
      </c>
      <c r="C185">
        <f>IF(Data!A185="","",IF(AND(A185="",B185=""),"Undated",IF(AND(A185&lt;&gt;"",TODAY()&lt;A185),"Upcoming",IF(AND(B185&lt;&gt;"",TODAY()&gt;B185),"Completed","Active"))))</f>
        <v/>
      </c>
    </row>
    <row r="186">
      <c r="A186" s="2">
        <f>IF(Data!A186="","",IF(ISNUMBER(Data!C186),Data!C186,IFERROR(DATEVALUE(Data!C186),IFERROR(DATEVALUE(SUBSTITUTE(Data!C186,"-"," ")),""))))</f>
        <v/>
      </c>
      <c r="B186" s="2">
        <f>IF(Data!A186="","",IF(ISNUMBER(Data!D186),Data!D186,IFERROR(DATEVALUE(Data!D186),IFERROR(DATEVALUE(SUBSTITUTE(Data!D186,"-"," ")),""))))</f>
        <v/>
      </c>
      <c r="C186">
        <f>IF(Data!A186="","",IF(AND(A186="",B186=""),"Undated",IF(AND(A186&lt;&gt;"",TODAY()&lt;A186),"Upcoming",IF(AND(B186&lt;&gt;"",TODAY()&gt;B186),"Completed","Active"))))</f>
        <v/>
      </c>
    </row>
    <row r="187">
      <c r="A187" s="2">
        <f>IF(Data!A187="","",IF(ISNUMBER(Data!C187),Data!C187,IFERROR(DATEVALUE(Data!C187),IFERROR(DATEVALUE(SUBSTITUTE(Data!C187,"-"," ")),""))))</f>
        <v/>
      </c>
      <c r="B187" s="2">
        <f>IF(Data!A187="","",IF(ISNUMBER(Data!D187),Data!D187,IFERROR(DATEVALUE(Data!D187),IFERROR(DATEVALUE(SUBSTITUTE(Data!D187,"-"," ")),""))))</f>
        <v/>
      </c>
      <c r="C187">
        <f>IF(Data!A187="","",IF(AND(A187="",B187=""),"Undated",IF(AND(A187&lt;&gt;"",TODAY()&lt;A187),"Upcoming",IF(AND(B187&lt;&gt;"",TODAY()&gt;B187),"Completed","Active"))))</f>
        <v/>
      </c>
    </row>
    <row r="188">
      <c r="A188" s="2">
        <f>IF(Data!A188="","",IF(ISNUMBER(Data!C188),Data!C188,IFERROR(DATEVALUE(Data!C188),IFERROR(DATEVALUE(SUBSTITUTE(Data!C188,"-"," ")),""))))</f>
        <v/>
      </c>
      <c r="B188" s="2">
        <f>IF(Data!A188="","",IF(ISNUMBER(Data!D188),Data!D188,IFERROR(DATEVALUE(Data!D188),IFERROR(DATEVALUE(SUBSTITUTE(Data!D188,"-"," ")),""))))</f>
        <v/>
      </c>
      <c r="C188">
        <f>IF(Data!A188="","",IF(AND(A188="",B188=""),"Undated",IF(AND(A188&lt;&gt;"",TODAY()&lt;A188),"Upcoming",IF(AND(B188&lt;&gt;"",TODAY()&gt;B188),"Completed","Active"))))</f>
        <v/>
      </c>
    </row>
    <row r="189">
      <c r="A189" s="2">
        <f>IF(Data!A189="","",IF(ISNUMBER(Data!C189),Data!C189,IFERROR(DATEVALUE(Data!C189),IFERROR(DATEVALUE(SUBSTITUTE(Data!C189,"-"," ")),""))))</f>
        <v/>
      </c>
      <c r="B189" s="2">
        <f>IF(Data!A189="","",IF(ISNUMBER(Data!D189),Data!D189,IFERROR(DATEVALUE(Data!D189),IFERROR(DATEVALUE(SUBSTITUTE(Data!D189,"-"," ")),""))))</f>
        <v/>
      </c>
      <c r="C189">
        <f>IF(Data!A189="","",IF(AND(A189="",B189=""),"Undated",IF(AND(A189&lt;&gt;"",TODAY()&lt;A189),"Upcoming",IF(AND(B189&lt;&gt;"",TODAY()&gt;B189),"Completed","Active"))))</f>
        <v/>
      </c>
    </row>
    <row r="190">
      <c r="A190" s="2">
        <f>IF(Data!A190="","",IF(ISNUMBER(Data!C190),Data!C190,IFERROR(DATEVALUE(Data!C190),IFERROR(DATEVALUE(SUBSTITUTE(Data!C190,"-"," ")),""))))</f>
        <v/>
      </c>
      <c r="B190" s="2">
        <f>IF(Data!A190="","",IF(ISNUMBER(Data!D190),Data!D190,IFERROR(DATEVALUE(Data!D190),IFERROR(DATEVALUE(SUBSTITUTE(Data!D190,"-"," ")),""))))</f>
        <v/>
      </c>
      <c r="C190">
        <f>IF(Data!A190="","",IF(AND(A190="",B190=""),"Undated",IF(AND(A190&lt;&gt;"",TODAY()&lt;A190),"Upcoming",IF(AND(B190&lt;&gt;"",TODAY()&gt;B190),"Completed","Active"))))</f>
        <v/>
      </c>
    </row>
    <row r="191">
      <c r="A191" s="2">
        <f>IF(Data!A191="","",IF(ISNUMBER(Data!C191),Data!C191,IFERROR(DATEVALUE(Data!C191),IFERROR(DATEVALUE(SUBSTITUTE(Data!C191,"-"," ")),""))))</f>
        <v/>
      </c>
      <c r="B191" s="2">
        <f>IF(Data!A191="","",IF(ISNUMBER(Data!D191),Data!D191,IFERROR(DATEVALUE(Data!D191),IFERROR(DATEVALUE(SUBSTITUTE(Data!D191,"-"," ")),""))))</f>
        <v/>
      </c>
      <c r="C191">
        <f>IF(Data!A191="","",IF(AND(A191="",B191=""),"Undated",IF(AND(A191&lt;&gt;"",TODAY()&lt;A191),"Upcoming",IF(AND(B191&lt;&gt;"",TODAY()&gt;B191),"Completed","Active"))))</f>
        <v/>
      </c>
    </row>
    <row r="192">
      <c r="A192" s="2">
        <f>IF(Data!A192="","",IF(ISNUMBER(Data!C192),Data!C192,IFERROR(DATEVALUE(Data!C192),IFERROR(DATEVALUE(SUBSTITUTE(Data!C192,"-"," ")),""))))</f>
        <v/>
      </c>
      <c r="B192" s="2">
        <f>IF(Data!A192="","",IF(ISNUMBER(Data!D192),Data!D192,IFERROR(DATEVALUE(Data!D192),IFERROR(DATEVALUE(SUBSTITUTE(Data!D192,"-"," ")),""))))</f>
        <v/>
      </c>
      <c r="C192">
        <f>IF(Data!A192="","",IF(AND(A192="",B192=""),"Undated",IF(AND(A192&lt;&gt;"",TODAY()&lt;A192),"Upcoming",IF(AND(B192&lt;&gt;"",TODAY()&gt;B192),"Completed","Active"))))</f>
        <v/>
      </c>
    </row>
    <row r="193">
      <c r="A193" s="2">
        <f>IF(Data!A193="","",IF(ISNUMBER(Data!C193),Data!C193,IFERROR(DATEVALUE(Data!C193),IFERROR(DATEVALUE(SUBSTITUTE(Data!C193,"-"," ")),""))))</f>
        <v/>
      </c>
      <c r="B193" s="2">
        <f>IF(Data!A193="","",IF(ISNUMBER(Data!D193),Data!D193,IFERROR(DATEVALUE(Data!D193),IFERROR(DATEVALUE(SUBSTITUTE(Data!D193,"-"," ")),""))))</f>
        <v/>
      </c>
      <c r="C193">
        <f>IF(Data!A193="","",IF(AND(A193="",B193=""),"Undated",IF(AND(A193&lt;&gt;"",TODAY()&lt;A193),"Upcoming",IF(AND(B193&lt;&gt;"",TODAY()&gt;B193),"Completed","Active"))))</f>
        <v/>
      </c>
    </row>
    <row r="194">
      <c r="A194" s="2">
        <f>IF(Data!A194="","",IF(ISNUMBER(Data!C194),Data!C194,IFERROR(DATEVALUE(Data!C194),IFERROR(DATEVALUE(SUBSTITUTE(Data!C194,"-"," ")),""))))</f>
        <v/>
      </c>
      <c r="B194" s="2">
        <f>IF(Data!A194="","",IF(ISNUMBER(Data!D194),Data!D194,IFERROR(DATEVALUE(Data!D194),IFERROR(DATEVALUE(SUBSTITUTE(Data!D194,"-"," ")),""))))</f>
        <v/>
      </c>
      <c r="C194">
        <f>IF(Data!A194="","",IF(AND(A194="",B194=""),"Undated",IF(AND(A194&lt;&gt;"",TODAY()&lt;A194),"Upcoming",IF(AND(B194&lt;&gt;"",TODAY()&gt;B194),"Completed","Active"))))</f>
        <v/>
      </c>
    </row>
    <row r="195">
      <c r="A195" s="2">
        <f>IF(Data!A195="","",IF(ISNUMBER(Data!C195),Data!C195,IFERROR(DATEVALUE(Data!C195),IFERROR(DATEVALUE(SUBSTITUTE(Data!C195,"-"," ")),""))))</f>
        <v/>
      </c>
      <c r="B195" s="2">
        <f>IF(Data!A195="","",IF(ISNUMBER(Data!D195),Data!D195,IFERROR(DATEVALUE(Data!D195),IFERROR(DATEVALUE(SUBSTITUTE(Data!D195,"-"," ")),""))))</f>
        <v/>
      </c>
      <c r="C195">
        <f>IF(Data!A195="","",IF(AND(A195="",B195=""),"Undated",IF(AND(A195&lt;&gt;"",TODAY()&lt;A195),"Upcoming",IF(AND(B195&lt;&gt;"",TODAY()&gt;B195),"Completed","Active"))))</f>
        <v/>
      </c>
    </row>
    <row r="196">
      <c r="A196" s="2">
        <f>IF(Data!A196="","",IF(ISNUMBER(Data!C196),Data!C196,IFERROR(DATEVALUE(Data!C196),IFERROR(DATEVALUE(SUBSTITUTE(Data!C196,"-"," ")),""))))</f>
        <v/>
      </c>
      <c r="B196" s="2">
        <f>IF(Data!A196="","",IF(ISNUMBER(Data!D196),Data!D196,IFERROR(DATEVALUE(Data!D196),IFERROR(DATEVALUE(SUBSTITUTE(Data!D196,"-"," ")),""))))</f>
        <v/>
      </c>
      <c r="C196">
        <f>IF(Data!A196="","",IF(AND(A196="",B196=""),"Undated",IF(AND(A196&lt;&gt;"",TODAY()&lt;A196),"Upcoming",IF(AND(B196&lt;&gt;"",TODAY()&gt;B196),"Completed","Active"))))</f>
        <v/>
      </c>
    </row>
    <row r="197">
      <c r="A197" s="2">
        <f>IF(Data!A197="","",IF(ISNUMBER(Data!C197),Data!C197,IFERROR(DATEVALUE(Data!C197),IFERROR(DATEVALUE(SUBSTITUTE(Data!C197,"-"," ")),""))))</f>
        <v/>
      </c>
      <c r="B197" s="2">
        <f>IF(Data!A197="","",IF(ISNUMBER(Data!D197),Data!D197,IFERROR(DATEVALUE(Data!D197),IFERROR(DATEVALUE(SUBSTITUTE(Data!D197,"-"," ")),""))))</f>
        <v/>
      </c>
      <c r="C197">
        <f>IF(Data!A197="","",IF(AND(A197="",B197=""),"Undated",IF(AND(A197&lt;&gt;"",TODAY()&lt;A197),"Upcoming",IF(AND(B197&lt;&gt;"",TODAY()&gt;B197),"Completed","Active"))))</f>
        <v/>
      </c>
    </row>
    <row r="198">
      <c r="A198" s="2">
        <f>IF(Data!A198="","",IF(ISNUMBER(Data!C198),Data!C198,IFERROR(DATEVALUE(Data!C198),IFERROR(DATEVALUE(SUBSTITUTE(Data!C198,"-"," ")),""))))</f>
        <v/>
      </c>
      <c r="B198" s="2">
        <f>IF(Data!A198="","",IF(ISNUMBER(Data!D198),Data!D198,IFERROR(DATEVALUE(Data!D198),IFERROR(DATEVALUE(SUBSTITUTE(Data!D198,"-"," ")),""))))</f>
        <v/>
      </c>
      <c r="C198">
        <f>IF(Data!A198="","",IF(AND(A198="",B198=""),"Undated",IF(AND(A198&lt;&gt;"",TODAY()&lt;A198),"Upcoming",IF(AND(B198&lt;&gt;"",TODAY()&gt;B198),"Completed","Active"))))</f>
        <v/>
      </c>
    </row>
    <row r="199">
      <c r="A199" s="2">
        <f>IF(Data!A199="","",IF(ISNUMBER(Data!C199),Data!C199,IFERROR(DATEVALUE(Data!C199),IFERROR(DATEVALUE(SUBSTITUTE(Data!C199,"-"," ")),""))))</f>
        <v/>
      </c>
      <c r="B199" s="2">
        <f>IF(Data!A199="","",IF(ISNUMBER(Data!D199),Data!D199,IFERROR(DATEVALUE(Data!D199),IFERROR(DATEVALUE(SUBSTITUTE(Data!D199,"-"," ")),""))))</f>
        <v/>
      </c>
      <c r="C199">
        <f>IF(Data!A199="","",IF(AND(A199="",B199=""),"Undated",IF(AND(A199&lt;&gt;"",TODAY()&lt;A199),"Upcoming",IF(AND(B199&lt;&gt;"",TODAY()&gt;B199),"Completed","Active"))))</f>
        <v/>
      </c>
    </row>
    <row r="200">
      <c r="A200" s="2">
        <f>IF(Data!A200="","",IF(ISNUMBER(Data!C200),Data!C200,IFERROR(DATEVALUE(Data!C200),IFERROR(DATEVALUE(SUBSTITUTE(Data!C200,"-"," ")),""))))</f>
        <v/>
      </c>
      <c r="B200" s="2">
        <f>IF(Data!A200="","",IF(ISNUMBER(Data!D200),Data!D200,IFERROR(DATEVALUE(Data!D200),IFERROR(DATEVALUE(SUBSTITUTE(Data!D200,"-"," ")),""))))</f>
        <v/>
      </c>
      <c r="C200">
        <f>IF(Data!A200="","",IF(AND(A200="",B200=""),"Undated",IF(AND(A200&lt;&gt;"",TODAY()&lt;A200),"Upcoming",IF(AND(B200&lt;&gt;"",TODAY()&gt;B200),"Completed","Active"))))</f>
        <v/>
      </c>
    </row>
    <row r="201">
      <c r="A201" s="2">
        <f>IF(Data!A201="","",IF(ISNUMBER(Data!C201),Data!C201,IFERROR(DATEVALUE(Data!C201),IFERROR(DATEVALUE(SUBSTITUTE(Data!C201,"-"," ")),""))))</f>
        <v/>
      </c>
      <c r="B201" s="2">
        <f>IF(Data!A201="","",IF(ISNUMBER(Data!D201),Data!D201,IFERROR(DATEVALUE(Data!D201),IFERROR(DATEVALUE(SUBSTITUTE(Data!D201,"-"," ")),""))))</f>
        <v/>
      </c>
      <c r="C201">
        <f>IF(Data!A201="","",IF(AND(A201="",B201=""),"Undated",IF(AND(A201&lt;&gt;"",TODAY()&lt;A201),"Upcoming",IF(AND(B201&lt;&gt;"",TODAY()&gt;B201),"Completed","Active"))))</f>
        <v/>
      </c>
    </row>
    <row r="202">
      <c r="A202" s="2">
        <f>IF(Data!A202="","",IF(ISNUMBER(Data!C202),Data!C202,IFERROR(DATEVALUE(Data!C202),IFERROR(DATEVALUE(SUBSTITUTE(Data!C202,"-"," ")),""))))</f>
        <v/>
      </c>
      <c r="B202" s="2">
        <f>IF(Data!A202="","",IF(ISNUMBER(Data!D202),Data!D202,IFERROR(DATEVALUE(Data!D202),IFERROR(DATEVALUE(SUBSTITUTE(Data!D202,"-"," ")),""))))</f>
        <v/>
      </c>
      <c r="C202">
        <f>IF(Data!A202="","",IF(AND(A202="",B202=""),"Undated",IF(AND(A202&lt;&gt;"",TODAY()&lt;A202),"Upcoming",IF(AND(B202&lt;&gt;"",TODAY()&gt;B202),"Completed","Active"))))</f>
        <v/>
      </c>
    </row>
    <row r="203">
      <c r="A203" s="2">
        <f>IF(Data!A203="","",IF(ISNUMBER(Data!C203),Data!C203,IFERROR(DATEVALUE(Data!C203),IFERROR(DATEVALUE(SUBSTITUTE(Data!C203,"-"," ")),""))))</f>
        <v/>
      </c>
      <c r="B203" s="2">
        <f>IF(Data!A203="","",IF(ISNUMBER(Data!D203),Data!D203,IFERROR(DATEVALUE(Data!D203),IFERROR(DATEVALUE(SUBSTITUTE(Data!D203,"-"," ")),""))))</f>
        <v/>
      </c>
      <c r="C203">
        <f>IF(Data!A203="","",IF(AND(A203="",B203=""),"Undated",IF(AND(A203&lt;&gt;"",TODAY()&lt;A203),"Upcoming",IF(AND(B203&lt;&gt;"",TODAY()&gt;B203),"Completed","Active"))))</f>
        <v/>
      </c>
    </row>
    <row r="204">
      <c r="A204" s="2">
        <f>IF(Data!A204="","",IF(ISNUMBER(Data!C204),Data!C204,IFERROR(DATEVALUE(Data!C204),IFERROR(DATEVALUE(SUBSTITUTE(Data!C204,"-"," ")),""))))</f>
        <v/>
      </c>
      <c r="B204" s="2">
        <f>IF(Data!A204="","",IF(ISNUMBER(Data!D204),Data!D204,IFERROR(DATEVALUE(Data!D204),IFERROR(DATEVALUE(SUBSTITUTE(Data!D204,"-"," ")),""))))</f>
        <v/>
      </c>
      <c r="C204">
        <f>IF(Data!A204="","",IF(AND(A204="",B204=""),"Undated",IF(AND(A204&lt;&gt;"",TODAY()&lt;A204),"Upcoming",IF(AND(B204&lt;&gt;"",TODAY()&gt;B204),"Completed","Active"))))</f>
        <v/>
      </c>
    </row>
    <row r="205">
      <c r="A205" s="2">
        <f>IF(Data!A205="","",IF(ISNUMBER(Data!C205),Data!C205,IFERROR(DATEVALUE(Data!C205),IFERROR(DATEVALUE(SUBSTITUTE(Data!C205,"-"," ")),""))))</f>
        <v/>
      </c>
      <c r="B205" s="2">
        <f>IF(Data!A205="","",IF(ISNUMBER(Data!D205),Data!D205,IFERROR(DATEVALUE(Data!D205),IFERROR(DATEVALUE(SUBSTITUTE(Data!D205,"-"," ")),""))))</f>
        <v/>
      </c>
      <c r="C205">
        <f>IF(Data!A205="","",IF(AND(A205="",B205=""),"Undated",IF(AND(A205&lt;&gt;"",TODAY()&lt;A205),"Upcoming",IF(AND(B205&lt;&gt;"",TODAY()&gt;B205),"Completed","Active"))))</f>
        <v/>
      </c>
    </row>
    <row r="206">
      <c r="A206" s="2">
        <f>IF(Data!A206="","",IF(ISNUMBER(Data!C206),Data!C206,IFERROR(DATEVALUE(Data!C206),IFERROR(DATEVALUE(SUBSTITUTE(Data!C206,"-"," ")),""))))</f>
        <v/>
      </c>
      <c r="B206" s="2">
        <f>IF(Data!A206="","",IF(ISNUMBER(Data!D206),Data!D206,IFERROR(DATEVALUE(Data!D206),IFERROR(DATEVALUE(SUBSTITUTE(Data!D206,"-"," ")),""))))</f>
        <v/>
      </c>
      <c r="C206">
        <f>IF(Data!A206="","",IF(AND(A206="",B206=""),"Undated",IF(AND(A206&lt;&gt;"",TODAY()&lt;A206),"Upcoming",IF(AND(B206&lt;&gt;"",TODAY()&gt;B206),"Completed","Active"))))</f>
        <v/>
      </c>
    </row>
    <row r="207">
      <c r="A207" s="2">
        <f>IF(Data!A207="","",IF(ISNUMBER(Data!C207),Data!C207,IFERROR(DATEVALUE(Data!C207),IFERROR(DATEVALUE(SUBSTITUTE(Data!C207,"-"," ")),""))))</f>
        <v/>
      </c>
      <c r="B207" s="2">
        <f>IF(Data!A207="","",IF(ISNUMBER(Data!D207),Data!D207,IFERROR(DATEVALUE(Data!D207),IFERROR(DATEVALUE(SUBSTITUTE(Data!D207,"-"," ")),""))))</f>
        <v/>
      </c>
      <c r="C207">
        <f>IF(Data!A207="","",IF(AND(A207="",B207=""),"Undated",IF(AND(A207&lt;&gt;"",TODAY()&lt;A207),"Upcoming",IF(AND(B207&lt;&gt;"",TODAY()&gt;B207),"Completed","Active"))))</f>
        <v/>
      </c>
    </row>
    <row r="208">
      <c r="A208" s="2">
        <f>IF(Data!A208="","",IF(ISNUMBER(Data!C208),Data!C208,IFERROR(DATEVALUE(Data!C208),IFERROR(DATEVALUE(SUBSTITUTE(Data!C208,"-"," ")),""))))</f>
        <v/>
      </c>
      <c r="B208" s="2">
        <f>IF(Data!A208="","",IF(ISNUMBER(Data!D208),Data!D208,IFERROR(DATEVALUE(Data!D208),IFERROR(DATEVALUE(SUBSTITUTE(Data!D208,"-"," ")),""))))</f>
        <v/>
      </c>
      <c r="C208">
        <f>IF(Data!A208="","",IF(AND(A208="",B208=""),"Undated",IF(AND(A208&lt;&gt;"",TODAY()&lt;A208),"Upcoming",IF(AND(B208&lt;&gt;"",TODAY()&gt;B208),"Completed","Active"))))</f>
        <v/>
      </c>
    </row>
    <row r="209">
      <c r="A209" s="2">
        <f>IF(Data!A209="","",IF(ISNUMBER(Data!C209),Data!C209,IFERROR(DATEVALUE(Data!C209),IFERROR(DATEVALUE(SUBSTITUTE(Data!C209,"-"," ")),""))))</f>
        <v/>
      </c>
      <c r="B209" s="2">
        <f>IF(Data!A209="","",IF(ISNUMBER(Data!D209),Data!D209,IFERROR(DATEVALUE(Data!D209),IFERROR(DATEVALUE(SUBSTITUTE(Data!D209,"-"," ")),""))))</f>
        <v/>
      </c>
      <c r="C209">
        <f>IF(Data!A209="","",IF(AND(A209="",B209=""),"Undated",IF(AND(A209&lt;&gt;"",TODAY()&lt;A209),"Upcoming",IF(AND(B209&lt;&gt;"",TODAY()&gt;B209),"Completed","Active"))))</f>
        <v/>
      </c>
    </row>
    <row r="210">
      <c r="A210" s="2">
        <f>IF(Data!A210="","",IF(ISNUMBER(Data!C210),Data!C210,IFERROR(DATEVALUE(Data!C210),IFERROR(DATEVALUE(SUBSTITUTE(Data!C210,"-"," ")),""))))</f>
        <v/>
      </c>
      <c r="B210" s="2">
        <f>IF(Data!A210="","",IF(ISNUMBER(Data!D210),Data!D210,IFERROR(DATEVALUE(Data!D210),IFERROR(DATEVALUE(SUBSTITUTE(Data!D210,"-"," ")),""))))</f>
        <v/>
      </c>
      <c r="C210">
        <f>IF(Data!A210="","",IF(AND(A210="",B210=""),"Undated",IF(AND(A210&lt;&gt;"",TODAY()&lt;A210),"Upcoming",IF(AND(B210&lt;&gt;"",TODAY()&gt;B210),"Completed","Active"))))</f>
        <v/>
      </c>
    </row>
    <row r="211">
      <c r="A211" s="2">
        <f>IF(Data!A211="","",IF(ISNUMBER(Data!C211),Data!C211,IFERROR(DATEVALUE(Data!C211),IFERROR(DATEVALUE(SUBSTITUTE(Data!C211,"-"," ")),""))))</f>
        <v/>
      </c>
      <c r="B211" s="2">
        <f>IF(Data!A211="","",IF(ISNUMBER(Data!D211),Data!D211,IFERROR(DATEVALUE(Data!D211),IFERROR(DATEVALUE(SUBSTITUTE(Data!D211,"-"," ")),""))))</f>
        <v/>
      </c>
      <c r="C211">
        <f>IF(Data!A211="","",IF(AND(A211="",B211=""),"Undated",IF(AND(A211&lt;&gt;"",TODAY()&lt;A211),"Upcoming",IF(AND(B211&lt;&gt;"",TODAY()&gt;B211),"Completed","Active"))))</f>
        <v/>
      </c>
    </row>
    <row r="212">
      <c r="A212" s="2">
        <f>IF(Data!A212="","",IF(ISNUMBER(Data!C212),Data!C212,IFERROR(DATEVALUE(Data!C212),IFERROR(DATEVALUE(SUBSTITUTE(Data!C212,"-"," ")),""))))</f>
        <v/>
      </c>
      <c r="B212" s="2">
        <f>IF(Data!A212="","",IF(ISNUMBER(Data!D212),Data!D212,IFERROR(DATEVALUE(Data!D212),IFERROR(DATEVALUE(SUBSTITUTE(Data!D212,"-"," ")),""))))</f>
        <v/>
      </c>
      <c r="C212">
        <f>IF(Data!A212="","",IF(AND(A212="",B212=""),"Undated",IF(AND(A212&lt;&gt;"",TODAY()&lt;A212),"Upcoming",IF(AND(B212&lt;&gt;"",TODAY()&gt;B212),"Completed","Active"))))</f>
        <v/>
      </c>
    </row>
    <row r="213">
      <c r="A213" s="2">
        <f>IF(Data!A213="","",IF(ISNUMBER(Data!C213),Data!C213,IFERROR(DATEVALUE(Data!C213),IFERROR(DATEVALUE(SUBSTITUTE(Data!C213,"-"," ")),""))))</f>
        <v/>
      </c>
      <c r="B213" s="2">
        <f>IF(Data!A213="","",IF(ISNUMBER(Data!D213),Data!D213,IFERROR(DATEVALUE(Data!D213),IFERROR(DATEVALUE(SUBSTITUTE(Data!D213,"-"," ")),""))))</f>
        <v/>
      </c>
      <c r="C213">
        <f>IF(Data!A213="","",IF(AND(A213="",B213=""),"Undated",IF(AND(A213&lt;&gt;"",TODAY()&lt;A213),"Upcoming",IF(AND(B213&lt;&gt;"",TODAY()&gt;B213),"Completed","Active"))))</f>
        <v/>
      </c>
    </row>
    <row r="214">
      <c r="A214" s="2">
        <f>IF(Data!A214="","",IF(ISNUMBER(Data!C214),Data!C214,IFERROR(DATEVALUE(Data!C214),IFERROR(DATEVALUE(SUBSTITUTE(Data!C214,"-"," ")),""))))</f>
        <v/>
      </c>
      <c r="B214" s="2">
        <f>IF(Data!A214="","",IF(ISNUMBER(Data!D214),Data!D214,IFERROR(DATEVALUE(Data!D214),IFERROR(DATEVALUE(SUBSTITUTE(Data!D214,"-"," ")),""))))</f>
        <v/>
      </c>
      <c r="C214">
        <f>IF(Data!A214="","",IF(AND(A214="",B214=""),"Undated",IF(AND(A214&lt;&gt;"",TODAY()&lt;A214),"Upcoming",IF(AND(B214&lt;&gt;"",TODAY()&gt;B214),"Completed","Active"))))</f>
        <v/>
      </c>
    </row>
    <row r="215">
      <c r="A215" s="2">
        <f>IF(Data!A215="","",IF(ISNUMBER(Data!C215),Data!C215,IFERROR(DATEVALUE(Data!C215),IFERROR(DATEVALUE(SUBSTITUTE(Data!C215,"-"," ")),""))))</f>
        <v/>
      </c>
      <c r="B215" s="2">
        <f>IF(Data!A215="","",IF(ISNUMBER(Data!D215),Data!D215,IFERROR(DATEVALUE(Data!D215),IFERROR(DATEVALUE(SUBSTITUTE(Data!D215,"-"," ")),""))))</f>
        <v/>
      </c>
      <c r="C215">
        <f>IF(Data!A215="","",IF(AND(A215="",B215=""),"Undated",IF(AND(A215&lt;&gt;"",TODAY()&lt;A215),"Upcoming",IF(AND(B215&lt;&gt;"",TODAY()&gt;B215),"Completed","Active"))))</f>
        <v/>
      </c>
    </row>
    <row r="216">
      <c r="A216" s="2">
        <f>IF(Data!A216="","",IF(ISNUMBER(Data!C216),Data!C216,IFERROR(DATEVALUE(Data!C216),IFERROR(DATEVALUE(SUBSTITUTE(Data!C216,"-"," ")),""))))</f>
        <v/>
      </c>
      <c r="B216" s="2">
        <f>IF(Data!A216="","",IF(ISNUMBER(Data!D216),Data!D216,IFERROR(DATEVALUE(Data!D216),IFERROR(DATEVALUE(SUBSTITUTE(Data!D216,"-"," ")),""))))</f>
        <v/>
      </c>
      <c r="C216">
        <f>IF(Data!A216="","",IF(AND(A216="",B216=""),"Undated",IF(AND(A216&lt;&gt;"",TODAY()&lt;A216),"Upcoming",IF(AND(B216&lt;&gt;"",TODAY()&gt;B216),"Completed","Active"))))</f>
        <v/>
      </c>
    </row>
    <row r="217">
      <c r="A217" s="2">
        <f>IF(Data!A217="","",IF(ISNUMBER(Data!C217),Data!C217,IFERROR(DATEVALUE(Data!C217),IFERROR(DATEVALUE(SUBSTITUTE(Data!C217,"-"," ")),""))))</f>
        <v/>
      </c>
      <c r="B217" s="2">
        <f>IF(Data!A217="","",IF(ISNUMBER(Data!D217),Data!D217,IFERROR(DATEVALUE(Data!D217),IFERROR(DATEVALUE(SUBSTITUTE(Data!D217,"-"," ")),""))))</f>
        <v/>
      </c>
      <c r="C217">
        <f>IF(Data!A217="","",IF(AND(A217="",B217=""),"Undated",IF(AND(A217&lt;&gt;"",TODAY()&lt;A217),"Upcoming",IF(AND(B217&lt;&gt;"",TODAY()&gt;B217),"Completed","Active"))))</f>
        <v/>
      </c>
    </row>
    <row r="218">
      <c r="A218" s="2">
        <f>IF(Data!A218="","",IF(ISNUMBER(Data!C218),Data!C218,IFERROR(DATEVALUE(Data!C218),IFERROR(DATEVALUE(SUBSTITUTE(Data!C218,"-"," ")),""))))</f>
        <v/>
      </c>
      <c r="B218" s="2">
        <f>IF(Data!A218="","",IF(ISNUMBER(Data!D218),Data!D218,IFERROR(DATEVALUE(Data!D218),IFERROR(DATEVALUE(SUBSTITUTE(Data!D218,"-"," ")),""))))</f>
        <v/>
      </c>
      <c r="C218">
        <f>IF(Data!A218="","",IF(AND(A218="",B218=""),"Undated",IF(AND(A218&lt;&gt;"",TODAY()&lt;A218),"Upcoming",IF(AND(B218&lt;&gt;"",TODAY()&gt;B218),"Completed","Active"))))</f>
        <v/>
      </c>
    </row>
    <row r="219">
      <c r="A219" s="2">
        <f>IF(Data!A219="","",IF(ISNUMBER(Data!C219),Data!C219,IFERROR(DATEVALUE(Data!C219),IFERROR(DATEVALUE(SUBSTITUTE(Data!C219,"-"," ")),""))))</f>
        <v/>
      </c>
      <c r="B219" s="2">
        <f>IF(Data!A219="","",IF(ISNUMBER(Data!D219),Data!D219,IFERROR(DATEVALUE(Data!D219),IFERROR(DATEVALUE(SUBSTITUTE(Data!D219,"-"," ")),""))))</f>
        <v/>
      </c>
      <c r="C219">
        <f>IF(Data!A219="","",IF(AND(A219="",B219=""),"Undated",IF(AND(A219&lt;&gt;"",TODAY()&lt;A219),"Upcoming",IF(AND(B219&lt;&gt;"",TODAY()&gt;B219),"Completed","Active"))))</f>
        <v/>
      </c>
    </row>
    <row r="220">
      <c r="A220" s="2">
        <f>IF(Data!A220="","",IF(ISNUMBER(Data!C220),Data!C220,IFERROR(DATEVALUE(Data!C220),IFERROR(DATEVALUE(SUBSTITUTE(Data!C220,"-"," ")),""))))</f>
        <v/>
      </c>
      <c r="B220" s="2">
        <f>IF(Data!A220="","",IF(ISNUMBER(Data!D220),Data!D220,IFERROR(DATEVALUE(Data!D220),IFERROR(DATEVALUE(SUBSTITUTE(Data!D220,"-"," ")),""))))</f>
        <v/>
      </c>
      <c r="C220">
        <f>IF(Data!A220="","",IF(AND(A220="",B220=""),"Undated",IF(AND(A220&lt;&gt;"",TODAY()&lt;A220),"Upcoming",IF(AND(B220&lt;&gt;"",TODAY()&gt;B220),"Completed","Active"))))</f>
        <v/>
      </c>
    </row>
    <row r="221">
      <c r="A221" s="2">
        <f>IF(Data!A221="","",IF(ISNUMBER(Data!C221),Data!C221,IFERROR(DATEVALUE(Data!C221),IFERROR(DATEVALUE(SUBSTITUTE(Data!C221,"-"," ")),""))))</f>
        <v/>
      </c>
      <c r="B221" s="2">
        <f>IF(Data!A221="","",IF(ISNUMBER(Data!D221),Data!D221,IFERROR(DATEVALUE(Data!D221),IFERROR(DATEVALUE(SUBSTITUTE(Data!D221,"-"," ")),""))))</f>
        <v/>
      </c>
      <c r="C221">
        <f>IF(Data!A221="","",IF(AND(A221="",B221=""),"Undated",IF(AND(A221&lt;&gt;"",TODAY()&lt;A221),"Upcoming",IF(AND(B221&lt;&gt;"",TODAY()&gt;B221),"Completed","Active"))))</f>
        <v/>
      </c>
    </row>
    <row r="222">
      <c r="A222" s="2">
        <f>IF(Data!A222="","",IF(ISNUMBER(Data!C222),Data!C222,IFERROR(DATEVALUE(Data!C222),IFERROR(DATEVALUE(SUBSTITUTE(Data!C222,"-"," ")),""))))</f>
        <v/>
      </c>
      <c r="B222" s="2">
        <f>IF(Data!A222="","",IF(ISNUMBER(Data!D222),Data!D222,IFERROR(DATEVALUE(Data!D222),IFERROR(DATEVALUE(SUBSTITUTE(Data!D222,"-"," ")),""))))</f>
        <v/>
      </c>
      <c r="C222">
        <f>IF(Data!A222="","",IF(AND(A222="",B222=""),"Undated",IF(AND(A222&lt;&gt;"",TODAY()&lt;A222),"Upcoming",IF(AND(B222&lt;&gt;"",TODAY()&gt;B222),"Completed","Active"))))</f>
        <v/>
      </c>
    </row>
    <row r="223">
      <c r="A223" s="2">
        <f>IF(Data!A223="","",IF(ISNUMBER(Data!C223),Data!C223,IFERROR(DATEVALUE(Data!C223),IFERROR(DATEVALUE(SUBSTITUTE(Data!C223,"-"," ")),""))))</f>
        <v/>
      </c>
      <c r="B223" s="2">
        <f>IF(Data!A223="","",IF(ISNUMBER(Data!D223),Data!D223,IFERROR(DATEVALUE(Data!D223),IFERROR(DATEVALUE(SUBSTITUTE(Data!D223,"-"," ")),""))))</f>
        <v/>
      </c>
      <c r="C223">
        <f>IF(Data!A223="","",IF(AND(A223="",B223=""),"Undated",IF(AND(A223&lt;&gt;"",TODAY()&lt;A223),"Upcoming",IF(AND(B223&lt;&gt;"",TODAY()&gt;B223),"Completed","Active"))))</f>
        <v/>
      </c>
    </row>
    <row r="224">
      <c r="A224" s="2">
        <f>IF(Data!A224="","",IF(ISNUMBER(Data!C224),Data!C224,IFERROR(DATEVALUE(Data!C224),IFERROR(DATEVALUE(SUBSTITUTE(Data!C224,"-"," ")),""))))</f>
        <v/>
      </c>
      <c r="B224" s="2">
        <f>IF(Data!A224="","",IF(ISNUMBER(Data!D224),Data!D224,IFERROR(DATEVALUE(Data!D224),IFERROR(DATEVALUE(SUBSTITUTE(Data!D224,"-"," ")),""))))</f>
        <v/>
      </c>
      <c r="C224">
        <f>IF(Data!A224="","",IF(AND(A224="",B224=""),"Undated",IF(AND(A224&lt;&gt;"",TODAY()&lt;A224),"Upcoming",IF(AND(B224&lt;&gt;"",TODAY()&gt;B224),"Completed","Active"))))</f>
        <v/>
      </c>
    </row>
    <row r="225">
      <c r="A225" s="2">
        <f>IF(Data!A225="","",IF(ISNUMBER(Data!C225),Data!C225,IFERROR(DATEVALUE(Data!C225),IFERROR(DATEVALUE(SUBSTITUTE(Data!C225,"-"," ")),""))))</f>
        <v/>
      </c>
      <c r="B225" s="2">
        <f>IF(Data!A225="","",IF(ISNUMBER(Data!D225),Data!D225,IFERROR(DATEVALUE(Data!D225),IFERROR(DATEVALUE(SUBSTITUTE(Data!D225,"-"," ")),""))))</f>
        <v/>
      </c>
      <c r="C225">
        <f>IF(Data!A225="","",IF(AND(A225="",B225=""),"Undated",IF(AND(A225&lt;&gt;"",TODAY()&lt;A225),"Upcoming",IF(AND(B225&lt;&gt;"",TODAY()&gt;B225),"Completed","Active"))))</f>
        <v/>
      </c>
    </row>
    <row r="226">
      <c r="A226" s="2">
        <f>IF(Data!A226="","",IF(ISNUMBER(Data!C226),Data!C226,IFERROR(DATEVALUE(Data!C226),IFERROR(DATEVALUE(SUBSTITUTE(Data!C226,"-"," ")),""))))</f>
        <v/>
      </c>
      <c r="B226" s="2">
        <f>IF(Data!A226="","",IF(ISNUMBER(Data!D226),Data!D226,IFERROR(DATEVALUE(Data!D226),IFERROR(DATEVALUE(SUBSTITUTE(Data!D226,"-"," ")),""))))</f>
        <v/>
      </c>
      <c r="C226">
        <f>IF(Data!A226="","",IF(AND(A226="",B226=""),"Undated",IF(AND(A226&lt;&gt;"",TODAY()&lt;A226),"Upcoming",IF(AND(B226&lt;&gt;"",TODAY()&gt;B226),"Completed","Active"))))</f>
        <v/>
      </c>
    </row>
    <row r="227">
      <c r="A227" s="2">
        <f>IF(Data!A227="","",IF(ISNUMBER(Data!C227),Data!C227,IFERROR(DATEVALUE(Data!C227),IFERROR(DATEVALUE(SUBSTITUTE(Data!C227,"-"," ")),""))))</f>
        <v/>
      </c>
      <c r="B227" s="2">
        <f>IF(Data!A227="","",IF(ISNUMBER(Data!D227),Data!D227,IFERROR(DATEVALUE(Data!D227),IFERROR(DATEVALUE(SUBSTITUTE(Data!D227,"-"," ")),""))))</f>
        <v/>
      </c>
      <c r="C227">
        <f>IF(Data!A227="","",IF(AND(A227="",B227=""),"Undated",IF(AND(A227&lt;&gt;"",TODAY()&lt;A227),"Upcoming",IF(AND(B227&lt;&gt;"",TODAY()&gt;B227),"Completed","Active"))))</f>
        <v/>
      </c>
    </row>
    <row r="228">
      <c r="A228" s="2">
        <f>IF(Data!A228="","",IF(ISNUMBER(Data!C228),Data!C228,IFERROR(DATEVALUE(Data!C228),IFERROR(DATEVALUE(SUBSTITUTE(Data!C228,"-"," ")),""))))</f>
        <v/>
      </c>
      <c r="B228" s="2">
        <f>IF(Data!A228="","",IF(ISNUMBER(Data!D228),Data!D228,IFERROR(DATEVALUE(Data!D228),IFERROR(DATEVALUE(SUBSTITUTE(Data!D228,"-"," ")),""))))</f>
        <v/>
      </c>
      <c r="C228">
        <f>IF(Data!A228="","",IF(AND(A228="",B228=""),"Undated",IF(AND(A228&lt;&gt;"",TODAY()&lt;A228),"Upcoming",IF(AND(B228&lt;&gt;"",TODAY()&gt;B228),"Completed","Active"))))</f>
        <v/>
      </c>
    </row>
    <row r="229">
      <c r="A229" s="2">
        <f>IF(Data!A229="","",IF(ISNUMBER(Data!C229),Data!C229,IFERROR(DATEVALUE(Data!C229),IFERROR(DATEVALUE(SUBSTITUTE(Data!C229,"-"," ")),""))))</f>
        <v/>
      </c>
      <c r="B229" s="2">
        <f>IF(Data!A229="","",IF(ISNUMBER(Data!D229),Data!D229,IFERROR(DATEVALUE(Data!D229),IFERROR(DATEVALUE(SUBSTITUTE(Data!D229,"-"," ")),""))))</f>
        <v/>
      </c>
      <c r="C229">
        <f>IF(Data!A229="","",IF(AND(A229="",B229=""),"Undated",IF(AND(A229&lt;&gt;"",TODAY()&lt;A229),"Upcoming",IF(AND(B229&lt;&gt;"",TODAY()&gt;B229),"Completed","Active"))))</f>
        <v/>
      </c>
    </row>
    <row r="230">
      <c r="A230" s="2">
        <f>IF(Data!A230="","",IF(ISNUMBER(Data!C230),Data!C230,IFERROR(DATEVALUE(Data!C230),IFERROR(DATEVALUE(SUBSTITUTE(Data!C230,"-"," ")),""))))</f>
        <v/>
      </c>
      <c r="B230" s="2">
        <f>IF(Data!A230="","",IF(ISNUMBER(Data!D230),Data!D230,IFERROR(DATEVALUE(Data!D230),IFERROR(DATEVALUE(SUBSTITUTE(Data!D230,"-"," ")),""))))</f>
        <v/>
      </c>
      <c r="C230">
        <f>IF(Data!A230="","",IF(AND(A230="",B230=""),"Undated",IF(AND(A230&lt;&gt;"",TODAY()&lt;A230),"Upcoming",IF(AND(B230&lt;&gt;"",TODAY()&gt;B230),"Completed","Active"))))</f>
        <v/>
      </c>
    </row>
    <row r="231">
      <c r="A231" s="2">
        <f>IF(Data!A231="","",IF(ISNUMBER(Data!C231),Data!C231,IFERROR(DATEVALUE(Data!C231),IFERROR(DATEVALUE(SUBSTITUTE(Data!C231,"-"," ")),""))))</f>
        <v/>
      </c>
      <c r="B231" s="2">
        <f>IF(Data!A231="","",IF(ISNUMBER(Data!D231),Data!D231,IFERROR(DATEVALUE(Data!D231),IFERROR(DATEVALUE(SUBSTITUTE(Data!D231,"-"," ")),""))))</f>
        <v/>
      </c>
      <c r="C231">
        <f>IF(Data!A231="","",IF(AND(A231="",B231=""),"Undated",IF(AND(A231&lt;&gt;"",TODAY()&lt;A231),"Upcoming",IF(AND(B231&lt;&gt;"",TODAY()&gt;B231),"Completed","Active"))))</f>
        <v/>
      </c>
    </row>
    <row r="232">
      <c r="A232" s="2">
        <f>IF(Data!A232="","",IF(ISNUMBER(Data!C232),Data!C232,IFERROR(DATEVALUE(Data!C232),IFERROR(DATEVALUE(SUBSTITUTE(Data!C232,"-"," ")),""))))</f>
        <v/>
      </c>
      <c r="B232" s="2">
        <f>IF(Data!A232="","",IF(ISNUMBER(Data!D232),Data!D232,IFERROR(DATEVALUE(Data!D232),IFERROR(DATEVALUE(SUBSTITUTE(Data!D232,"-"," ")),""))))</f>
        <v/>
      </c>
      <c r="C232">
        <f>IF(Data!A232="","",IF(AND(A232="",B232=""),"Undated",IF(AND(A232&lt;&gt;"",TODAY()&lt;A232),"Upcoming",IF(AND(B232&lt;&gt;"",TODAY()&gt;B232),"Completed","Active"))))</f>
        <v/>
      </c>
    </row>
    <row r="233">
      <c r="A233" s="2">
        <f>IF(Data!A233="","",IF(ISNUMBER(Data!C233),Data!C233,IFERROR(DATEVALUE(Data!C233),IFERROR(DATEVALUE(SUBSTITUTE(Data!C233,"-"," ")),""))))</f>
        <v/>
      </c>
      <c r="B233" s="2">
        <f>IF(Data!A233="","",IF(ISNUMBER(Data!D233),Data!D233,IFERROR(DATEVALUE(Data!D233),IFERROR(DATEVALUE(SUBSTITUTE(Data!D233,"-"," ")),""))))</f>
        <v/>
      </c>
      <c r="C233">
        <f>IF(Data!A233="","",IF(AND(A233="",B233=""),"Undated",IF(AND(A233&lt;&gt;"",TODAY()&lt;A233),"Upcoming",IF(AND(B233&lt;&gt;"",TODAY()&gt;B233),"Completed","Active"))))</f>
        <v/>
      </c>
    </row>
    <row r="234">
      <c r="A234" s="2">
        <f>IF(Data!A234="","",IF(ISNUMBER(Data!C234),Data!C234,IFERROR(DATEVALUE(Data!C234),IFERROR(DATEVALUE(SUBSTITUTE(Data!C234,"-"," ")),""))))</f>
        <v/>
      </c>
      <c r="B234" s="2">
        <f>IF(Data!A234="","",IF(ISNUMBER(Data!D234),Data!D234,IFERROR(DATEVALUE(Data!D234),IFERROR(DATEVALUE(SUBSTITUTE(Data!D234,"-"," ")),""))))</f>
        <v/>
      </c>
      <c r="C234">
        <f>IF(Data!A234="","",IF(AND(A234="",B234=""),"Undated",IF(AND(A234&lt;&gt;"",TODAY()&lt;A234),"Upcoming",IF(AND(B234&lt;&gt;"",TODAY()&gt;B234),"Completed","Active"))))</f>
        <v/>
      </c>
    </row>
    <row r="235">
      <c r="A235" s="2">
        <f>IF(Data!A235="","",IF(ISNUMBER(Data!C235),Data!C235,IFERROR(DATEVALUE(Data!C235),IFERROR(DATEVALUE(SUBSTITUTE(Data!C235,"-"," ")),""))))</f>
        <v/>
      </c>
      <c r="B235" s="2">
        <f>IF(Data!A235="","",IF(ISNUMBER(Data!D235),Data!D235,IFERROR(DATEVALUE(Data!D235),IFERROR(DATEVALUE(SUBSTITUTE(Data!D235,"-"," ")),""))))</f>
        <v/>
      </c>
      <c r="C235">
        <f>IF(Data!A235="","",IF(AND(A235="",B235=""),"Undated",IF(AND(A235&lt;&gt;"",TODAY()&lt;A235),"Upcoming",IF(AND(B235&lt;&gt;"",TODAY()&gt;B235),"Completed","Active"))))</f>
        <v/>
      </c>
    </row>
    <row r="236">
      <c r="A236" s="2">
        <f>IF(Data!A236="","",IF(ISNUMBER(Data!C236),Data!C236,IFERROR(DATEVALUE(Data!C236),IFERROR(DATEVALUE(SUBSTITUTE(Data!C236,"-"," ")),""))))</f>
        <v/>
      </c>
      <c r="B236" s="2">
        <f>IF(Data!A236="","",IF(ISNUMBER(Data!D236),Data!D236,IFERROR(DATEVALUE(Data!D236),IFERROR(DATEVALUE(SUBSTITUTE(Data!D236,"-"," ")),""))))</f>
        <v/>
      </c>
      <c r="C236">
        <f>IF(Data!A236="","",IF(AND(A236="",B236=""),"Undated",IF(AND(A236&lt;&gt;"",TODAY()&lt;A236),"Upcoming",IF(AND(B236&lt;&gt;"",TODAY()&gt;B236),"Completed","Active"))))</f>
        <v/>
      </c>
    </row>
    <row r="237">
      <c r="A237" s="2">
        <f>IF(Data!A237="","",IF(ISNUMBER(Data!C237),Data!C237,IFERROR(DATEVALUE(Data!C237),IFERROR(DATEVALUE(SUBSTITUTE(Data!C237,"-"," ")),""))))</f>
        <v/>
      </c>
      <c r="B237" s="2">
        <f>IF(Data!A237="","",IF(ISNUMBER(Data!D237),Data!D237,IFERROR(DATEVALUE(Data!D237),IFERROR(DATEVALUE(SUBSTITUTE(Data!D237,"-"," ")),""))))</f>
        <v/>
      </c>
      <c r="C237">
        <f>IF(Data!A237="","",IF(AND(A237="",B237=""),"Undated",IF(AND(A237&lt;&gt;"",TODAY()&lt;A237),"Upcoming",IF(AND(B237&lt;&gt;"",TODAY()&gt;B237),"Completed","Active"))))</f>
        <v/>
      </c>
    </row>
    <row r="238">
      <c r="A238" s="2">
        <f>IF(Data!A238="","",IF(ISNUMBER(Data!C238),Data!C238,IFERROR(DATEVALUE(Data!C238),IFERROR(DATEVALUE(SUBSTITUTE(Data!C238,"-"," ")),""))))</f>
        <v/>
      </c>
      <c r="B238" s="2">
        <f>IF(Data!A238="","",IF(ISNUMBER(Data!D238),Data!D238,IFERROR(DATEVALUE(Data!D238),IFERROR(DATEVALUE(SUBSTITUTE(Data!D238,"-"," ")),""))))</f>
        <v/>
      </c>
      <c r="C238">
        <f>IF(Data!A238="","",IF(AND(A238="",B238=""),"Undated",IF(AND(A238&lt;&gt;"",TODAY()&lt;A238),"Upcoming",IF(AND(B238&lt;&gt;"",TODAY()&gt;B238),"Completed","Active"))))</f>
        <v/>
      </c>
    </row>
    <row r="239">
      <c r="A239" s="2">
        <f>IF(Data!A239="","",IF(ISNUMBER(Data!C239),Data!C239,IFERROR(DATEVALUE(Data!C239),IFERROR(DATEVALUE(SUBSTITUTE(Data!C239,"-"," ")),""))))</f>
        <v/>
      </c>
      <c r="B239" s="2">
        <f>IF(Data!A239="","",IF(ISNUMBER(Data!D239),Data!D239,IFERROR(DATEVALUE(Data!D239),IFERROR(DATEVALUE(SUBSTITUTE(Data!D239,"-"," ")),""))))</f>
        <v/>
      </c>
      <c r="C239">
        <f>IF(Data!A239="","",IF(AND(A239="",B239=""),"Undated",IF(AND(A239&lt;&gt;"",TODAY()&lt;A239),"Upcoming",IF(AND(B239&lt;&gt;"",TODAY()&gt;B239),"Completed","Active"))))</f>
        <v/>
      </c>
    </row>
    <row r="240">
      <c r="A240" s="2">
        <f>IF(Data!A240="","",IF(ISNUMBER(Data!C240),Data!C240,IFERROR(DATEVALUE(Data!C240),IFERROR(DATEVALUE(SUBSTITUTE(Data!C240,"-"," ")),""))))</f>
        <v/>
      </c>
      <c r="B240" s="2">
        <f>IF(Data!A240="","",IF(ISNUMBER(Data!D240),Data!D240,IFERROR(DATEVALUE(Data!D240),IFERROR(DATEVALUE(SUBSTITUTE(Data!D240,"-"," ")),""))))</f>
        <v/>
      </c>
      <c r="C240">
        <f>IF(Data!A240="","",IF(AND(A240="",B240=""),"Undated",IF(AND(A240&lt;&gt;"",TODAY()&lt;A240),"Upcoming",IF(AND(B240&lt;&gt;"",TODAY()&gt;B240),"Completed","Active"))))</f>
        <v/>
      </c>
    </row>
    <row r="241">
      <c r="A241" s="2">
        <f>IF(Data!A241="","",IF(ISNUMBER(Data!C241),Data!C241,IFERROR(DATEVALUE(Data!C241),IFERROR(DATEVALUE(SUBSTITUTE(Data!C241,"-"," ")),""))))</f>
        <v/>
      </c>
      <c r="B241" s="2">
        <f>IF(Data!A241="","",IF(ISNUMBER(Data!D241),Data!D241,IFERROR(DATEVALUE(Data!D241),IFERROR(DATEVALUE(SUBSTITUTE(Data!D241,"-"," ")),""))))</f>
        <v/>
      </c>
      <c r="C241">
        <f>IF(Data!A241="","",IF(AND(A241="",B241=""),"Undated",IF(AND(A241&lt;&gt;"",TODAY()&lt;A241),"Upcoming",IF(AND(B241&lt;&gt;"",TODAY()&gt;B241),"Completed","Active"))))</f>
        <v/>
      </c>
    </row>
    <row r="242">
      <c r="A242" s="2">
        <f>IF(Data!A242="","",IF(ISNUMBER(Data!C242),Data!C242,IFERROR(DATEVALUE(Data!C242),IFERROR(DATEVALUE(SUBSTITUTE(Data!C242,"-"," ")),""))))</f>
        <v/>
      </c>
      <c r="B242" s="2">
        <f>IF(Data!A242="","",IF(ISNUMBER(Data!D242),Data!D242,IFERROR(DATEVALUE(Data!D242),IFERROR(DATEVALUE(SUBSTITUTE(Data!D242,"-"," ")),""))))</f>
        <v/>
      </c>
      <c r="C242">
        <f>IF(Data!A242="","",IF(AND(A242="",B242=""),"Undated",IF(AND(A242&lt;&gt;"",TODAY()&lt;A242),"Upcoming",IF(AND(B242&lt;&gt;"",TODAY()&gt;B242),"Completed","Active"))))</f>
        <v/>
      </c>
    </row>
    <row r="243">
      <c r="A243" s="2">
        <f>IF(Data!A243="","",IF(ISNUMBER(Data!C243),Data!C243,IFERROR(DATEVALUE(Data!C243),IFERROR(DATEVALUE(SUBSTITUTE(Data!C243,"-"," ")),""))))</f>
        <v/>
      </c>
      <c r="B243" s="2">
        <f>IF(Data!A243="","",IF(ISNUMBER(Data!D243),Data!D243,IFERROR(DATEVALUE(Data!D243),IFERROR(DATEVALUE(SUBSTITUTE(Data!D243,"-"," ")),""))))</f>
        <v/>
      </c>
      <c r="C243">
        <f>IF(Data!A243="","",IF(AND(A243="",B243=""),"Undated",IF(AND(A243&lt;&gt;"",TODAY()&lt;A243),"Upcoming",IF(AND(B243&lt;&gt;"",TODAY()&gt;B243),"Completed","Active"))))</f>
        <v/>
      </c>
    </row>
    <row r="244">
      <c r="A244" s="2">
        <f>IF(Data!A244="","",IF(ISNUMBER(Data!C244),Data!C244,IFERROR(DATEVALUE(Data!C244),IFERROR(DATEVALUE(SUBSTITUTE(Data!C244,"-"," ")),""))))</f>
        <v/>
      </c>
      <c r="B244" s="2">
        <f>IF(Data!A244="","",IF(ISNUMBER(Data!D244),Data!D244,IFERROR(DATEVALUE(Data!D244),IFERROR(DATEVALUE(SUBSTITUTE(Data!D244,"-"," ")),""))))</f>
        <v/>
      </c>
      <c r="C244">
        <f>IF(Data!A244="","",IF(AND(A244="",B244=""),"Undated",IF(AND(A244&lt;&gt;"",TODAY()&lt;A244),"Upcoming",IF(AND(B244&lt;&gt;"",TODAY()&gt;B244),"Completed","Active"))))</f>
        <v/>
      </c>
    </row>
    <row r="245">
      <c r="A245" s="2">
        <f>IF(Data!A245="","",IF(ISNUMBER(Data!C245),Data!C245,IFERROR(DATEVALUE(Data!C245),IFERROR(DATEVALUE(SUBSTITUTE(Data!C245,"-"," ")),""))))</f>
        <v/>
      </c>
      <c r="B245" s="2">
        <f>IF(Data!A245="","",IF(ISNUMBER(Data!D245),Data!D245,IFERROR(DATEVALUE(Data!D245),IFERROR(DATEVALUE(SUBSTITUTE(Data!D245,"-"," ")),""))))</f>
        <v/>
      </c>
      <c r="C245">
        <f>IF(Data!A245="","",IF(AND(A245="",B245=""),"Undated",IF(AND(A245&lt;&gt;"",TODAY()&lt;A245),"Upcoming",IF(AND(B245&lt;&gt;"",TODAY()&gt;B245),"Completed","Active"))))</f>
        <v/>
      </c>
    </row>
    <row r="246">
      <c r="A246" s="2">
        <f>IF(Data!A246="","",IF(ISNUMBER(Data!C246),Data!C246,IFERROR(DATEVALUE(Data!C246),IFERROR(DATEVALUE(SUBSTITUTE(Data!C246,"-"," ")),""))))</f>
        <v/>
      </c>
      <c r="B246" s="2">
        <f>IF(Data!A246="","",IF(ISNUMBER(Data!D246),Data!D246,IFERROR(DATEVALUE(Data!D246),IFERROR(DATEVALUE(SUBSTITUTE(Data!D246,"-"," ")),""))))</f>
        <v/>
      </c>
      <c r="C246">
        <f>IF(Data!A246="","",IF(AND(A246="",B246=""),"Undated",IF(AND(A246&lt;&gt;"",TODAY()&lt;A246),"Upcoming",IF(AND(B246&lt;&gt;"",TODAY()&gt;B246),"Completed","Active"))))</f>
        <v/>
      </c>
    </row>
    <row r="247">
      <c r="A247" s="2">
        <f>IF(Data!A247="","",IF(ISNUMBER(Data!C247),Data!C247,IFERROR(DATEVALUE(Data!C247),IFERROR(DATEVALUE(SUBSTITUTE(Data!C247,"-"," ")),""))))</f>
        <v/>
      </c>
      <c r="B247" s="2">
        <f>IF(Data!A247="","",IF(ISNUMBER(Data!D247),Data!D247,IFERROR(DATEVALUE(Data!D247),IFERROR(DATEVALUE(SUBSTITUTE(Data!D247,"-"," ")),""))))</f>
        <v/>
      </c>
      <c r="C247">
        <f>IF(Data!A247="","",IF(AND(A247="",B247=""),"Undated",IF(AND(A247&lt;&gt;"",TODAY()&lt;A247),"Upcoming",IF(AND(B247&lt;&gt;"",TODAY()&gt;B247),"Completed","Active"))))</f>
        <v/>
      </c>
    </row>
    <row r="248">
      <c r="A248" s="2">
        <f>IF(Data!A248="","",IF(ISNUMBER(Data!C248),Data!C248,IFERROR(DATEVALUE(Data!C248),IFERROR(DATEVALUE(SUBSTITUTE(Data!C248,"-"," ")),""))))</f>
        <v/>
      </c>
      <c r="B248" s="2">
        <f>IF(Data!A248="","",IF(ISNUMBER(Data!D248),Data!D248,IFERROR(DATEVALUE(Data!D248),IFERROR(DATEVALUE(SUBSTITUTE(Data!D248,"-"," ")),""))))</f>
        <v/>
      </c>
      <c r="C248">
        <f>IF(Data!A248="","",IF(AND(A248="",B248=""),"Undated",IF(AND(A248&lt;&gt;"",TODAY()&lt;A248),"Upcoming",IF(AND(B248&lt;&gt;"",TODAY()&gt;B248),"Completed","Active"))))</f>
        <v/>
      </c>
    </row>
    <row r="249">
      <c r="A249" s="2">
        <f>IF(Data!A249="","",IF(ISNUMBER(Data!C249),Data!C249,IFERROR(DATEVALUE(Data!C249),IFERROR(DATEVALUE(SUBSTITUTE(Data!C249,"-"," ")),""))))</f>
        <v/>
      </c>
      <c r="B249" s="2">
        <f>IF(Data!A249="","",IF(ISNUMBER(Data!D249),Data!D249,IFERROR(DATEVALUE(Data!D249),IFERROR(DATEVALUE(SUBSTITUTE(Data!D249,"-"," ")),""))))</f>
        <v/>
      </c>
      <c r="C249">
        <f>IF(Data!A249="","",IF(AND(A249="",B249=""),"Undated",IF(AND(A249&lt;&gt;"",TODAY()&lt;A249),"Upcoming",IF(AND(B249&lt;&gt;"",TODAY()&gt;B249),"Completed","Active"))))</f>
        <v/>
      </c>
    </row>
    <row r="250">
      <c r="A250" s="2">
        <f>IF(Data!A250="","",IF(ISNUMBER(Data!C250),Data!C250,IFERROR(DATEVALUE(Data!C250),IFERROR(DATEVALUE(SUBSTITUTE(Data!C250,"-"," ")),""))))</f>
        <v/>
      </c>
      <c r="B250" s="2">
        <f>IF(Data!A250="","",IF(ISNUMBER(Data!D250),Data!D250,IFERROR(DATEVALUE(Data!D250),IFERROR(DATEVALUE(SUBSTITUTE(Data!D250,"-"," ")),""))))</f>
        <v/>
      </c>
      <c r="C250">
        <f>IF(Data!A250="","",IF(AND(A250="",B250=""),"Undated",IF(AND(A250&lt;&gt;"",TODAY()&lt;A250),"Upcoming",IF(AND(B250&lt;&gt;"",TODAY()&gt;B250),"Completed","Active"))))</f>
        <v/>
      </c>
    </row>
    <row r="251">
      <c r="A251" s="2">
        <f>IF(Data!A251="","",IF(ISNUMBER(Data!C251),Data!C251,IFERROR(DATEVALUE(Data!C251),IFERROR(DATEVALUE(SUBSTITUTE(Data!C251,"-"," ")),""))))</f>
        <v/>
      </c>
      <c r="B251" s="2">
        <f>IF(Data!A251="","",IF(ISNUMBER(Data!D251),Data!D251,IFERROR(DATEVALUE(Data!D251),IFERROR(DATEVALUE(SUBSTITUTE(Data!D251,"-"," ")),""))))</f>
        <v/>
      </c>
      <c r="C251">
        <f>IF(Data!A251="","",IF(AND(A251="",B251=""),"Undated",IF(AND(A251&lt;&gt;"",TODAY()&lt;A251),"Upcoming",IF(AND(B251&lt;&gt;"",TODAY()&gt;B251),"Completed","Active"))))</f>
        <v/>
      </c>
    </row>
    <row r="252">
      <c r="A252" s="2">
        <f>IF(Data!A252="","",IF(ISNUMBER(Data!C252),Data!C252,IFERROR(DATEVALUE(Data!C252),IFERROR(DATEVALUE(SUBSTITUTE(Data!C252,"-"," ")),""))))</f>
        <v/>
      </c>
      <c r="B252" s="2">
        <f>IF(Data!A252="","",IF(ISNUMBER(Data!D252),Data!D252,IFERROR(DATEVALUE(Data!D252),IFERROR(DATEVALUE(SUBSTITUTE(Data!D252,"-"," ")),""))))</f>
        <v/>
      </c>
      <c r="C252">
        <f>IF(Data!A252="","",IF(AND(A252="",B252=""),"Undated",IF(AND(A252&lt;&gt;"",TODAY()&lt;A252),"Upcoming",IF(AND(B252&lt;&gt;"",TODAY()&gt;B252),"Completed","Active"))))</f>
        <v/>
      </c>
    </row>
    <row r="253">
      <c r="A253" s="2">
        <f>IF(Data!A253="","",IF(ISNUMBER(Data!C253),Data!C253,IFERROR(DATEVALUE(Data!C253),IFERROR(DATEVALUE(SUBSTITUTE(Data!C253,"-"," ")),""))))</f>
        <v/>
      </c>
      <c r="B253" s="2">
        <f>IF(Data!A253="","",IF(ISNUMBER(Data!D253),Data!D253,IFERROR(DATEVALUE(Data!D253),IFERROR(DATEVALUE(SUBSTITUTE(Data!D253,"-"," ")),""))))</f>
        <v/>
      </c>
      <c r="C253">
        <f>IF(Data!A253="","",IF(AND(A253="",B253=""),"Undated",IF(AND(A253&lt;&gt;"",TODAY()&lt;A253),"Upcoming",IF(AND(B253&lt;&gt;"",TODAY()&gt;B253),"Completed","Active"))))</f>
        <v/>
      </c>
    </row>
    <row r="254">
      <c r="A254" s="2">
        <f>IF(Data!A254="","",IF(ISNUMBER(Data!C254),Data!C254,IFERROR(DATEVALUE(Data!C254),IFERROR(DATEVALUE(SUBSTITUTE(Data!C254,"-"," ")),""))))</f>
        <v/>
      </c>
      <c r="B254" s="2">
        <f>IF(Data!A254="","",IF(ISNUMBER(Data!D254),Data!D254,IFERROR(DATEVALUE(Data!D254),IFERROR(DATEVALUE(SUBSTITUTE(Data!D254,"-"," ")),""))))</f>
        <v/>
      </c>
      <c r="C254">
        <f>IF(Data!A254="","",IF(AND(A254="",B254=""),"Undated",IF(AND(A254&lt;&gt;"",TODAY()&lt;A254),"Upcoming",IF(AND(B254&lt;&gt;"",TODAY()&gt;B254),"Completed","Active"))))</f>
        <v/>
      </c>
    </row>
    <row r="255">
      <c r="A255" s="2">
        <f>IF(Data!A255="","",IF(ISNUMBER(Data!C255),Data!C255,IFERROR(DATEVALUE(Data!C255),IFERROR(DATEVALUE(SUBSTITUTE(Data!C255,"-"," ")),""))))</f>
        <v/>
      </c>
      <c r="B255" s="2">
        <f>IF(Data!A255="","",IF(ISNUMBER(Data!D255),Data!D255,IFERROR(DATEVALUE(Data!D255),IFERROR(DATEVALUE(SUBSTITUTE(Data!D255,"-"," ")),""))))</f>
        <v/>
      </c>
      <c r="C255">
        <f>IF(Data!A255="","",IF(AND(A255="",B255=""),"Undated",IF(AND(A255&lt;&gt;"",TODAY()&lt;A255),"Upcoming",IF(AND(B255&lt;&gt;"",TODAY()&gt;B255),"Completed","Active"))))</f>
        <v/>
      </c>
    </row>
    <row r="256">
      <c r="A256" s="2">
        <f>IF(Data!A256="","",IF(ISNUMBER(Data!C256),Data!C256,IFERROR(DATEVALUE(Data!C256),IFERROR(DATEVALUE(SUBSTITUTE(Data!C256,"-"," ")),""))))</f>
        <v/>
      </c>
      <c r="B256" s="2">
        <f>IF(Data!A256="","",IF(ISNUMBER(Data!D256),Data!D256,IFERROR(DATEVALUE(Data!D256),IFERROR(DATEVALUE(SUBSTITUTE(Data!D256,"-"," ")),""))))</f>
        <v/>
      </c>
      <c r="C256">
        <f>IF(Data!A256="","",IF(AND(A256="",B256=""),"Undated",IF(AND(A256&lt;&gt;"",TODAY()&lt;A256),"Upcoming",IF(AND(B256&lt;&gt;"",TODAY()&gt;B256),"Completed","Active"))))</f>
        <v/>
      </c>
    </row>
    <row r="257">
      <c r="A257" s="2">
        <f>IF(Data!A257="","",IF(ISNUMBER(Data!C257),Data!C257,IFERROR(DATEVALUE(Data!C257),IFERROR(DATEVALUE(SUBSTITUTE(Data!C257,"-"," ")),""))))</f>
        <v/>
      </c>
      <c r="B257" s="2">
        <f>IF(Data!A257="","",IF(ISNUMBER(Data!D257),Data!D257,IFERROR(DATEVALUE(Data!D257),IFERROR(DATEVALUE(SUBSTITUTE(Data!D257,"-"," ")),""))))</f>
        <v/>
      </c>
      <c r="C257">
        <f>IF(Data!A257="","",IF(AND(A257="",B257=""),"Undated",IF(AND(A257&lt;&gt;"",TODAY()&lt;A257),"Upcoming",IF(AND(B257&lt;&gt;"",TODAY()&gt;B257),"Completed","Active"))))</f>
        <v/>
      </c>
    </row>
    <row r="258">
      <c r="A258" s="2">
        <f>IF(Data!A258="","",IF(ISNUMBER(Data!C258),Data!C258,IFERROR(DATEVALUE(Data!C258),IFERROR(DATEVALUE(SUBSTITUTE(Data!C258,"-"," ")),""))))</f>
        <v/>
      </c>
      <c r="B258" s="2">
        <f>IF(Data!A258="","",IF(ISNUMBER(Data!D258),Data!D258,IFERROR(DATEVALUE(Data!D258),IFERROR(DATEVALUE(SUBSTITUTE(Data!D258,"-"," ")),""))))</f>
        <v/>
      </c>
      <c r="C258">
        <f>IF(Data!A258="","",IF(AND(A258="",B258=""),"Undated",IF(AND(A258&lt;&gt;"",TODAY()&lt;A258),"Upcoming",IF(AND(B258&lt;&gt;"",TODAY()&gt;B258),"Completed","Active"))))</f>
        <v/>
      </c>
    </row>
    <row r="259">
      <c r="A259" s="2">
        <f>IF(Data!A259="","",IF(ISNUMBER(Data!C259),Data!C259,IFERROR(DATEVALUE(Data!C259),IFERROR(DATEVALUE(SUBSTITUTE(Data!C259,"-"," ")),""))))</f>
        <v/>
      </c>
      <c r="B259" s="2">
        <f>IF(Data!A259="","",IF(ISNUMBER(Data!D259),Data!D259,IFERROR(DATEVALUE(Data!D259),IFERROR(DATEVALUE(SUBSTITUTE(Data!D259,"-"," ")),""))))</f>
        <v/>
      </c>
      <c r="C259">
        <f>IF(Data!A259="","",IF(AND(A259="",B259=""),"Undated",IF(AND(A259&lt;&gt;"",TODAY()&lt;A259),"Upcoming",IF(AND(B259&lt;&gt;"",TODAY()&gt;B259),"Completed","Active"))))</f>
        <v/>
      </c>
    </row>
    <row r="260">
      <c r="A260" s="2">
        <f>IF(Data!A260="","",IF(ISNUMBER(Data!C260),Data!C260,IFERROR(DATEVALUE(Data!C260),IFERROR(DATEVALUE(SUBSTITUTE(Data!C260,"-"," ")),""))))</f>
        <v/>
      </c>
      <c r="B260" s="2">
        <f>IF(Data!A260="","",IF(ISNUMBER(Data!D260),Data!D260,IFERROR(DATEVALUE(Data!D260),IFERROR(DATEVALUE(SUBSTITUTE(Data!D260,"-"," ")),""))))</f>
        <v/>
      </c>
      <c r="C260">
        <f>IF(Data!A260="","",IF(AND(A260="",B260=""),"Undated",IF(AND(A260&lt;&gt;"",TODAY()&lt;A260),"Upcoming",IF(AND(B260&lt;&gt;"",TODAY()&gt;B260),"Completed","Active"))))</f>
        <v/>
      </c>
    </row>
    <row r="261">
      <c r="A261" s="2">
        <f>IF(Data!A261="","",IF(ISNUMBER(Data!C261),Data!C261,IFERROR(DATEVALUE(Data!C261),IFERROR(DATEVALUE(SUBSTITUTE(Data!C261,"-"," ")),""))))</f>
        <v/>
      </c>
      <c r="B261" s="2">
        <f>IF(Data!A261="","",IF(ISNUMBER(Data!D261),Data!D261,IFERROR(DATEVALUE(Data!D261),IFERROR(DATEVALUE(SUBSTITUTE(Data!D261,"-"," ")),""))))</f>
        <v/>
      </c>
      <c r="C261">
        <f>IF(Data!A261="","",IF(AND(A261="",B261=""),"Undated",IF(AND(A261&lt;&gt;"",TODAY()&lt;A261),"Upcoming",IF(AND(B261&lt;&gt;"",TODAY()&gt;B261),"Completed","Active"))))</f>
        <v/>
      </c>
    </row>
    <row r="262">
      <c r="A262" s="2">
        <f>IF(Data!A262="","",IF(ISNUMBER(Data!C262),Data!C262,IFERROR(DATEVALUE(Data!C262),IFERROR(DATEVALUE(SUBSTITUTE(Data!C262,"-"," ")),""))))</f>
        <v/>
      </c>
      <c r="B262" s="2">
        <f>IF(Data!A262="","",IF(ISNUMBER(Data!D262),Data!D262,IFERROR(DATEVALUE(Data!D262),IFERROR(DATEVALUE(SUBSTITUTE(Data!D262,"-"," ")),""))))</f>
        <v/>
      </c>
      <c r="C262">
        <f>IF(Data!A262="","",IF(AND(A262="",B262=""),"Undated",IF(AND(A262&lt;&gt;"",TODAY()&lt;A262),"Upcoming",IF(AND(B262&lt;&gt;"",TODAY()&gt;B262),"Completed","Active"))))</f>
        <v/>
      </c>
    </row>
    <row r="263">
      <c r="A263" s="2">
        <f>IF(Data!A263="","",IF(ISNUMBER(Data!C263),Data!C263,IFERROR(DATEVALUE(Data!C263),IFERROR(DATEVALUE(SUBSTITUTE(Data!C263,"-"," ")),""))))</f>
        <v/>
      </c>
      <c r="B263" s="2">
        <f>IF(Data!A263="","",IF(ISNUMBER(Data!D263),Data!D263,IFERROR(DATEVALUE(Data!D263),IFERROR(DATEVALUE(SUBSTITUTE(Data!D263,"-"," ")),""))))</f>
        <v/>
      </c>
      <c r="C263">
        <f>IF(Data!A263="","",IF(AND(A263="",B263=""),"Undated",IF(AND(A263&lt;&gt;"",TODAY()&lt;A263),"Upcoming",IF(AND(B263&lt;&gt;"",TODAY()&gt;B263),"Completed","Active"))))</f>
        <v/>
      </c>
    </row>
    <row r="264">
      <c r="A264" s="2">
        <f>IF(Data!A264="","",IF(ISNUMBER(Data!C264),Data!C264,IFERROR(DATEVALUE(Data!C264),IFERROR(DATEVALUE(SUBSTITUTE(Data!C264,"-"," ")),""))))</f>
        <v/>
      </c>
      <c r="B264" s="2">
        <f>IF(Data!A264="","",IF(ISNUMBER(Data!D264),Data!D264,IFERROR(DATEVALUE(Data!D264),IFERROR(DATEVALUE(SUBSTITUTE(Data!D264,"-"," ")),""))))</f>
        <v/>
      </c>
      <c r="C264">
        <f>IF(Data!A264="","",IF(AND(A264="",B264=""),"Undated",IF(AND(A264&lt;&gt;"",TODAY()&lt;A264),"Upcoming",IF(AND(B264&lt;&gt;"",TODAY()&gt;B264),"Completed","Active"))))</f>
        <v/>
      </c>
    </row>
    <row r="265">
      <c r="A265" s="2">
        <f>IF(Data!A265="","",IF(ISNUMBER(Data!C265),Data!C265,IFERROR(DATEVALUE(Data!C265),IFERROR(DATEVALUE(SUBSTITUTE(Data!C265,"-"," ")),""))))</f>
        <v/>
      </c>
      <c r="B265" s="2">
        <f>IF(Data!A265="","",IF(ISNUMBER(Data!D265),Data!D265,IFERROR(DATEVALUE(Data!D265),IFERROR(DATEVALUE(SUBSTITUTE(Data!D265,"-"," ")),""))))</f>
        <v/>
      </c>
      <c r="C265">
        <f>IF(Data!A265="","",IF(AND(A265="",B265=""),"Undated",IF(AND(A265&lt;&gt;"",TODAY()&lt;A265),"Upcoming",IF(AND(B265&lt;&gt;"",TODAY()&gt;B265),"Completed","Active"))))</f>
        <v/>
      </c>
    </row>
    <row r="266">
      <c r="A266" s="2">
        <f>IF(Data!A266="","",IF(ISNUMBER(Data!C266),Data!C266,IFERROR(DATEVALUE(Data!C266),IFERROR(DATEVALUE(SUBSTITUTE(Data!C266,"-"," ")),""))))</f>
        <v/>
      </c>
      <c r="B266" s="2">
        <f>IF(Data!A266="","",IF(ISNUMBER(Data!D266),Data!D266,IFERROR(DATEVALUE(Data!D266),IFERROR(DATEVALUE(SUBSTITUTE(Data!D266,"-"," ")),""))))</f>
        <v/>
      </c>
      <c r="C266">
        <f>IF(Data!A266="","",IF(AND(A266="",B266=""),"Undated",IF(AND(A266&lt;&gt;"",TODAY()&lt;A266),"Upcoming",IF(AND(B266&lt;&gt;"",TODAY()&gt;B266),"Completed","Active"))))</f>
        <v/>
      </c>
    </row>
    <row r="267">
      <c r="A267" s="2">
        <f>IF(Data!A267="","",IF(ISNUMBER(Data!C267),Data!C267,IFERROR(DATEVALUE(Data!C267),IFERROR(DATEVALUE(SUBSTITUTE(Data!C267,"-"," ")),""))))</f>
        <v/>
      </c>
      <c r="B267" s="2">
        <f>IF(Data!A267="","",IF(ISNUMBER(Data!D267),Data!D267,IFERROR(DATEVALUE(Data!D267),IFERROR(DATEVALUE(SUBSTITUTE(Data!D267,"-"," ")),""))))</f>
        <v/>
      </c>
      <c r="C267">
        <f>IF(Data!A267="","",IF(AND(A267="",B267=""),"Undated",IF(AND(A267&lt;&gt;"",TODAY()&lt;A267),"Upcoming",IF(AND(B267&lt;&gt;"",TODAY()&gt;B267),"Completed","Active"))))</f>
        <v/>
      </c>
    </row>
    <row r="268">
      <c r="A268" s="2">
        <f>IF(Data!A268="","",IF(ISNUMBER(Data!C268),Data!C268,IFERROR(DATEVALUE(Data!C268),IFERROR(DATEVALUE(SUBSTITUTE(Data!C268,"-"," ")),""))))</f>
        <v/>
      </c>
      <c r="B268" s="2">
        <f>IF(Data!A268="","",IF(ISNUMBER(Data!D268),Data!D268,IFERROR(DATEVALUE(Data!D268),IFERROR(DATEVALUE(SUBSTITUTE(Data!D268,"-"," ")),""))))</f>
        <v/>
      </c>
      <c r="C268">
        <f>IF(Data!A268="","",IF(AND(A268="",B268=""),"Undated",IF(AND(A268&lt;&gt;"",TODAY()&lt;A268),"Upcoming",IF(AND(B268&lt;&gt;"",TODAY()&gt;B268),"Completed","Active"))))</f>
        <v/>
      </c>
    </row>
    <row r="269">
      <c r="A269" s="2">
        <f>IF(Data!A269="","",IF(ISNUMBER(Data!C269),Data!C269,IFERROR(DATEVALUE(Data!C269),IFERROR(DATEVALUE(SUBSTITUTE(Data!C269,"-"," ")),""))))</f>
        <v/>
      </c>
      <c r="B269" s="2">
        <f>IF(Data!A269="","",IF(ISNUMBER(Data!D269),Data!D269,IFERROR(DATEVALUE(Data!D269),IFERROR(DATEVALUE(SUBSTITUTE(Data!D269,"-"," ")),""))))</f>
        <v/>
      </c>
      <c r="C269">
        <f>IF(Data!A269="","",IF(AND(A269="",B269=""),"Undated",IF(AND(A269&lt;&gt;"",TODAY()&lt;A269),"Upcoming",IF(AND(B269&lt;&gt;"",TODAY()&gt;B269),"Completed","Active"))))</f>
        <v/>
      </c>
    </row>
    <row r="270">
      <c r="A270" s="2">
        <f>IF(Data!A270="","",IF(ISNUMBER(Data!C270),Data!C270,IFERROR(DATEVALUE(Data!C270),IFERROR(DATEVALUE(SUBSTITUTE(Data!C270,"-"," ")),""))))</f>
        <v/>
      </c>
      <c r="B270" s="2">
        <f>IF(Data!A270="","",IF(ISNUMBER(Data!D270),Data!D270,IFERROR(DATEVALUE(Data!D270),IFERROR(DATEVALUE(SUBSTITUTE(Data!D270,"-"," ")),""))))</f>
        <v/>
      </c>
      <c r="C270">
        <f>IF(Data!A270="","",IF(AND(A270="",B270=""),"Undated",IF(AND(A270&lt;&gt;"",TODAY()&lt;A270),"Upcoming",IF(AND(B270&lt;&gt;"",TODAY()&gt;B270),"Completed","Active"))))</f>
        <v/>
      </c>
    </row>
    <row r="271">
      <c r="A271" s="2">
        <f>IF(Data!A271="","",IF(ISNUMBER(Data!C271),Data!C271,IFERROR(DATEVALUE(Data!C271),IFERROR(DATEVALUE(SUBSTITUTE(Data!C271,"-"," ")),""))))</f>
        <v/>
      </c>
      <c r="B271" s="2">
        <f>IF(Data!A271="","",IF(ISNUMBER(Data!D271),Data!D271,IFERROR(DATEVALUE(Data!D271),IFERROR(DATEVALUE(SUBSTITUTE(Data!D271,"-"," ")),""))))</f>
        <v/>
      </c>
      <c r="C271">
        <f>IF(Data!A271="","",IF(AND(A271="",B271=""),"Undated",IF(AND(A271&lt;&gt;"",TODAY()&lt;A271),"Upcoming",IF(AND(B271&lt;&gt;"",TODAY()&gt;B271),"Completed","Active"))))</f>
        <v/>
      </c>
    </row>
    <row r="272">
      <c r="A272" s="2">
        <f>IF(Data!A272="","",IF(ISNUMBER(Data!C272),Data!C272,IFERROR(DATEVALUE(Data!C272),IFERROR(DATEVALUE(SUBSTITUTE(Data!C272,"-"," ")),""))))</f>
        <v/>
      </c>
      <c r="B272" s="2">
        <f>IF(Data!A272="","",IF(ISNUMBER(Data!D272),Data!D272,IFERROR(DATEVALUE(Data!D272),IFERROR(DATEVALUE(SUBSTITUTE(Data!D272,"-"," ")),""))))</f>
        <v/>
      </c>
      <c r="C272">
        <f>IF(Data!A272="","",IF(AND(A272="",B272=""),"Undated",IF(AND(A272&lt;&gt;"",TODAY()&lt;A272),"Upcoming",IF(AND(B272&lt;&gt;"",TODAY()&gt;B272),"Completed","Active"))))</f>
        <v/>
      </c>
    </row>
    <row r="273">
      <c r="A273" s="2">
        <f>IF(Data!A273="","",IF(ISNUMBER(Data!C273),Data!C273,IFERROR(DATEVALUE(Data!C273),IFERROR(DATEVALUE(SUBSTITUTE(Data!C273,"-"," ")),""))))</f>
        <v/>
      </c>
      <c r="B273" s="2">
        <f>IF(Data!A273="","",IF(ISNUMBER(Data!D273),Data!D273,IFERROR(DATEVALUE(Data!D273),IFERROR(DATEVALUE(SUBSTITUTE(Data!D273,"-"," ")),""))))</f>
        <v/>
      </c>
      <c r="C273">
        <f>IF(Data!A273="","",IF(AND(A273="",B273=""),"Undated",IF(AND(A273&lt;&gt;"",TODAY()&lt;A273),"Upcoming",IF(AND(B273&lt;&gt;"",TODAY()&gt;B273),"Completed","Active"))))</f>
        <v/>
      </c>
    </row>
    <row r="274">
      <c r="A274" s="2">
        <f>IF(Data!A274="","",IF(ISNUMBER(Data!C274),Data!C274,IFERROR(DATEVALUE(Data!C274),IFERROR(DATEVALUE(SUBSTITUTE(Data!C274,"-"," ")),""))))</f>
        <v/>
      </c>
      <c r="B274" s="2">
        <f>IF(Data!A274="","",IF(ISNUMBER(Data!D274),Data!D274,IFERROR(DATEVALUE(Data!D274),IFERROR(DATEVALUE(SUBSTITUTE(Data!D274,"-"," ")),""))))</f>
        <v/>
      </c>
      <c r="C274">
        <f>IF(Data!A274="","",IF(AND(A274="",B274=""),"Undated",IF(AND(A274&lt;&gt;"",TODAY()&lt;A274),"Upcoming",IF(AND(B274&lt;&gt;"",TODAY()&gt;B274),"Completed","Active"))))</f>
        <v/>
      </c>
    </row>
    <row r="275">
      <c r="A275" s="2">
        <f>IF(Data!A275="","",IF(ISNUMBER(Data!C275),Data!C275,IFERROR(DATEVALUE(Data!C275),IFERROR(DATEVALUE(SUBSTITUTE(Data!C275,"-"," ")),""))))</f>
        <v/>
      </c>
      <c r="B275" s="2">
        <f>IF(Data!A275="","",IF(ISNUMBER(Data!D275),Data!D275,IFERROR(DATEVALUE(Data!D275),IFERROR(DATEVALUE(SUBSTITUTE(Data!D275,"-"," ")),""))))</f>
        <v/>
      </c>
      <c r="C275">
        <f>IF(Data!A275="","",IF(AND(A275="",B275=""),"Undated",IF(AND(A275&lt;&gt;"",TODAY()&lt;A275),"Upcoming",IF(AND(B275&lt;&gt;"",TODAY()&gt;B275),"Completed","Active"))))</f>
        <v/>
      </c>
    </row>
    <row r="276">
      <c r="A276" s="2">
        <f>IF(Data!A276="","",IF(ISNUMBER(Data!C276),Data!C276,IFERROR(DATEVALUE(Data!C276),IFERROR(DATEVALUE(SUBSTITUTE(Data!C276,"-"," ")),""))))</f>
        <v/>
      </c>
      <c r="B276" s="2">
        <f>IF(Data!A276="","",IF(ISNUMBER(Data!D276),Data!D276,IFERROR(DATEVALUE(Data!D276),IFERROR(DATEVALUE(SUBSTITUTE(Data!D276,"-"," ")),""))))</f>
        <v/>
      </c>
      <c r="C276">
        <f>IF(Data!A276="","",IF(AND(A276="",B276=""),"Undated",IF(AND(A276&lt;&gt;"",TODAY()&lt;A276),"Upcoming",IF(AND(B276&lt;&gt;"",TODAY()&gt;B276),"Completed","Active"))))</f>
        <v/>
      </c>
    </row>
    <row r="277">
      <c r="A277" s="2">
        <f>IF(Data!A277="","",IF(ISNUMBER(Data!C277),Data!C277,IFERROR(DATEVALUE(Data!C277),IFERROR(DATEVALUE(SUBSTITUTE(Data!C277,"-"," ")),""))))</f>
        <v/>
      </c>
      <c r="B277" s="2">
        <f>IF(Data!A277="","",IF(ISNUMBER(Data!D277),Data!D277,IFERROR(DATEVALUE(Data!D277),IFERROR(DATEVALUE(SUBSTITUTE(Data!D277,"-"," ")),""))))</f>
        <v/>
      </c>
      <c r="C277">
        <f>IF(Data!A277="","",IF(AND(A277="",B277=""),"Undated",IF(AND(A277&lt;&gt;"",TODAY()&lt;A277),"Upcoming",IF(AND(B277&lt;&gt;"",TODAY()&gt;B277),"Completed","Active"))))</f>
        <v/>
      </c>
    </row>
    <row r="278">
      <c r="A278" s="2">
        <f>IF(Data!A278="","",IF(ISNUMBER(Data!C278),Data!C278,IFERROR(DATEVALUE(Data!C278),IFERROR(DATEVALUE(SUBSTITUTE(Data!C278,"-"," ")),""))))</f>
        <v/>
      </c>
      <c r="B278" s="2">
        <f>IF(Data!A278="","",IF(ISNUMBER(Data!D278),Data!D278,IFERROR(DATEVALUE(Data!D278),IFERROR(DATEVALUE(SUBSTITUTE(Data!D278,"-"," ")),""))))</f>
        <v/>
      </c>
      <c r="C278">
        <f>IF(Data!A278="","",IF(AND(A278="",B278=""),"Undated",IF(AND(A278&lt;&gt;"",TODAY()&lt;A278),"Upcoming",IF(AND(B278&lt;&gt;"",TODAY()&gt;B278),"Completed","Active"))))</f>
        <v/>
      </c>
    </row>
    <row r="279">
      <c r="A279" s="2">
        <f>IF(Data!A279="","",IF(ISNUMBER(Data!C279),Data!C279,IFERROR(DATEVALUE(Data!C279),IFERROR(DATEVALUE(SUBSTITUTE(Data!C279,"-"," ")),""))))</f>
        <v/>
      </c>
      <c r="B279" s="2">
        <f>IF(Data!A279="","",IF(ISNUMBER(Data!D279),Data!D279,IFERROR(DATEVALUE(Data!D279),IFERROR(DATEVALUE(SUBSTITUTE(Data!D279,"-"," ")),""))))</f>
        <v/>
      </c>
      <c r="C279">
        <f>IF(Data!A279="","",IF(AND(A279="",B279=""),"Undated",IF(AND(A279&lt;&gt;"",TODAY()&lt;A279),"Upcoming",IF(AND(B279&lt;&gt;"",TODAY()&gt;B279),"Completed","Active"))))</f>
        <v/>
      </c>
    </row>
    <row r="280">
      <c r="A280" s="2">
        <f>IF(Data!A280="","",IF(ISNUMBER(Data!C280),Data!C280,IFERROR(DATEVALUE(Data!C280),IFERROR(DATEVALUE(SUBSTITUTE(Data!C280,"-"," ")),""))))</f>
        <v/>
      </c>
      <c r="B280" s="2">
        <f>IF(Data!A280="","",IF(ISNUMBER(Data!D280),Data!D280,IFERROR(DATEVALUE(Data!D280),IFERROR(DATEVALUE(SUBSTITUTE(Data!D280,"-"," ")),""))))</f>
        <v/>
      </c>
      <c r="C280">
        <f>IF(Data!A280="","",IF(AND(A280="",B280=""),"Undated",IF(AND(A280&lt;&gt;"",TODAY()&lt;A280),"Upcoming",IF(AND(B280&lt;&gt;"",TODAY()&gt;B280),"Completed","Active"))))</f>
        <v/>
      </c>
    </row>
    <row r="281">
      <c r="A281" s="2">
        <f>IF(Data!A281="","",IF(ISNUMBER(Data!C281),Data!C281,IFERROR(DATEVALUE(Data!C281),IFERROR(DATEVALUE(SUBSTITUTE(Data!C281,"-"," ")),""))))</f>
        <v/>
      </c>
      <c r="B281" s="2">
        <f>IF(Data!A281="","",IF(ISNUMBER(Data!D281),Data!D281,IFERROR(DATEVALUE(Data!D281),IFERROR(DATEVALUE(SUBSTITUTE(Data!D281,"-"," ")),""))))</f>
        <v/>
      </c>
      <c r="C281">
        <f>IF(Data!A281="","",IF(AND(A281="",B281=""),"Undated",IF(AND(A281&lt;&gt;"",TODAY()&lt;A281),"Upcoming",IF(AND(B281&lt;&gt;"",TODAY()&gt;B281),"Completed","Active"))))</f>
        <v/>
      </c>
    </row>
    <row r="282">
      <c r="A282" s="2">
        <f>IF(Data!A282="","",IF(ISNUMBER(Data!C282),Data!C282,IFERROR(DATEVALUE(Data!C282),IFERROR(DATEVALUE(SUBSTITUTE(Data!C282,"-"," ")),""))))</f>
        <v/>
      </c>
      <c r="B282" s="2">
        <f>IF(Data!A282="","",IF(ISNUMBER(Data!D282),Data!D282,IFERROR(DATEVALUE(Data!D282),IFERROR(DATEVALUE(SUBSTITUTE(Data!D282,"-"," ")),""))))</f>
        <v/>
      </c>
      <c r="C282">
        <f>IF(Data!A282="","",IF(AND(A282="",B282=""),"Undated",IF(AND(A282&lt;&gt;"",TODAY()&lt;A282),"Upcoming",IF(AND(B282&lt;&gt;"",TODAY()&gt;B282),"Completed","Active"))))</f>
        <v/>
      </c>
    </row>
    <row r="283">
      <c r="A283" s="2">
        <f>IF(Data!A283="","",IF(ISNUMBER(Data!C283),Data!C283,IFERROR(DATEVALUE(Data!C283),IFERROR(DATEVALUE(SUBSTITUTE(Data!C283,"-"," ")),""))))</f>
        <v/>
      </c>
      <c r="B283" s="2">
        <f>IF(Data!A283="","",IF(ISNUMBER(Data!D283),Data!D283,IFERROR(DATEVALUE(Data!D283),IFERROR(DATEVALUE(SUBSTITUTE(Data!D283,"-"," ")),""))))</f>
        <v/>
      </c>
      <c r="C283">
        <f>IF(Data!A283="","",IF(AND(A283="",B283=""),"Undated",IF(AND(A283&lt;&gt;"",TODAY()&lt;A283),"Upcoming",IF(AND(B283&lt;&gt;"",TODAY()&gt;B283),"Completed","Active"))))</f>
        <v/>
      </c>
    </row>
    <row r="284">
      <c r="A284" s="2">
        <f>IF(Data!A284="","",IF(ISNUMBER(Data!C284),Data!C284,IFERROR(DATEVALUE(Data!C284),IFERROR(DATEVALUE(SUBSTITUTE(Data!C284,"-"," ")),""))))</f>
        <v/>
      </c>
      <c r="B284" s="2">
        <f>IF(Data!A284="","",IF(ISNUMBER(Data!D284),Data!D284,IFERROR(DATEVALUE(Data!D284),IFERROR(DATEVALUE(SUBSTITUTE(Data!D284,"-"," ")),""))))</f>
        <v/>
      </c>
      <c r="C284">
        <f>IF(Data!A284="","",IF(AND(A284="",B284=""),"Undated",IF(AND(A284&lt;&gt;"",TODAY()&lt;A284),"Upcoming",IF(AND(B284&lt;&gt;"",TODAY()&gt;B284),"Completed","Active"))))</f>
        <v/>
      </c>
    </row>
    <row r="285">
      <c r="A285" s="2">
        <f>IF(Data!A285="","",IF(ISNUMBER(Data!C285),Data!C285,IFERROR(DATEVALUE(Data!C285),IFERROR(DATEVALUE(SUBSTITUTE(Data!C285,"-"," ")),""))))</f>
        <v/>
      </c>
      <c r="B285" s="2">
        <f>IF(Data!A285="","",IF(ISNUMBER(Data!D285),Data!D285,IFERROR(DATEVALUE(Data!D285),IFERROR(DATEVALUE(SUBSTITUTE(Data!D285,"-"," ")),""))))</f>
        <v/>
      </c>
      <c r="C285">
        <f>IF(Data!A285="","",IF(AND(A285="",B285=""),"Undated",IF(AND(A285&lt;&gt;"",TODAY()&lt;A285),"Upcoming",IF(AND(B285&lt;&gt;"",TODAY()&gt;B285),"Completed","Active"))))</f>
        <v/>
      </c>
    </row>
    <row r="286">
      <c r="A286" s="2">
        <f>IF(Data!A286="","",IF(ISNUMBER(Data!C286),Data!C286,IFERROR(DATEVALUE(Data!C286),IFERROR(DATEVALUE(SUBSTITUTE(Data!C286,"-"," ")),""))))</f>
        <v/>
      </c>
      <c r="B286" s="2">
        <f>IF(Data!A286="","",IF(ISNUMBER(Data!D286),Data!D286,IFERROR(DATEVALUE(Data!D286),IFERROR(DATEVALUE(SUBSTITUTE(Data!D286,"-"," ")),""))))</f>
        <v/>
      </c>
      <c r="C286">
        <f>IF(Data!A286="","",IF(AND(A286="",B286=""),"Undated",IF(AND(A286&lt;&gt;"",TODAY()&lt;A286),"Upcoming",IF(AND(B286&lt;&gt;"",TODAY()&gt;B286),"Completed","Active"))))</f>
        <v/>
      </c>
    </row>
    <row r="287">
      <c r="A287" s="2">
        <f>IF(Data!A287="","",IF(ISNUMBER(Data!C287),Data!C287,IFERROR(DATEVALUE(Data!C287),IFERROR(DATEVALUE(SUBSTITUTE(Data!C287,"-"," ")),""))))</f>
        <v/>
      </c>
      <c r="B287" s="2">
        <f>IF(Data!A287="","",IF(ISNUMBER(Data!D287),Data!D287,IFERROR(DATEVALUE(Data!D287),IFERROR(DATEVALUE(SUBSTITUTE(Data!D287,"-"," ")),""))))</f>
        <v/>
      </c>
      <c r="C287">
        <f>IF(Data!A287="","",IF(AND(A287="",B287=""),"Undated",IF(AND(A287&lt;&gt;"",TODAY()&lt;A287),"Upcoming",IF(AND(B287&lt;&gt;"",TODAY()&gt;B287),"Completed","Active"))))</f>
        <v/>
      </c>
    </row>
    <row r="288">
      <c r="A288" s="2">
        <f>IF(Data!A288="","",IF(ISNUMBER(Data!C288),Data!C288,IFERROR(DATEVALUE(Data!C288),IFERROR(DATEVALUE(SUBSTITUTE(Data!C288,"-"," ")),""))))</f>
        <v/>
      </c>
      <c r="B288" s="2">
        <f>IF(Data!A288="","",IF(ISNUMBER(Data!D288),Data!D288,IFERROR(DATEVALUE(Data!D288),IFERROR(DATEVALUE(SUBSTITUTE(Data!D288,"-"," ")),""))))</f>
        <v/>
      </c>
      <c r="C288">
        <f>IF(Data!A288="","",IF(AND(A288="",B288=""),"Undated",IF(AND(A288&lt;&gt;"",TODAY()&lt;A288),"Upcoming",IF(AND(B288&lt;&gt;"",TODAY()&gt;B288),"Completed","Active"))))</f>
        <v/>
      </c>
    </row>
    <row r="289">
      <c r="A289" s="2">
        <f>IF(Data!A289="","",IF(ISNUMBER(Data!C289),Data!C289,IFERROR(DATEVALUE(Data!C289),IFERROR(DATEVALUE(SUBSTITUTE(Data!C289,"-"," ")),""))))</f>
        <v/>
      </c>
      <c r="B289" s="2">
        <f>IF(Data!A289="","",IF(ISNUMBER(Data!D289),Data!D289,IFERROR(DATEVALUE(Data!D289),IFERROR(DATEVALUE(SUBSTITUTE(Data!D289,"-"," ")),""))))</f>
        <v/>
      </c>
      <c r="C289">
        <f>IF(Data!A289="","",IF(AND(A289="",B289=""),"Undated",IF(AND(A289&lt;&gt;"",TODAY()&lt;A289),"Upcoming",IF(AND(B289&lt;&gt;"",TODAY()&gt;B289),"Completed","Active"))))</f>
        <v/>
      </c>
    </row>
    <row r="290">
      <c r="A290" s="2">
        <f>IF(Data!A290="","",IF(ISNUMBER(Data!C290),Data!C290,IFERROR(DATEVALUE(Data!C290),IFERROR(DATEVALUE(SUBSTITUTE(Data!C290,"-"," ")),""))))</f>
        <v/>
      </c>
      <c r="B290" s="2">
        <f>IF(Data!A290="","",IF(ISNUMBER(Data!D290),Data!D290,IFERROR(DATEVALUE(Data!D290),IFERROR(DATEVALUE(SUBSTITUTE(Data!D290,"-"," ")),""))))</f>
        <v/>
      </c>
      <c r="C290">
        <f>IF(Data!A290="","",IF(AND(A290="",B290=""),"Undated",IF(AND(A290&lt;&gt;"",TODAY()&lt;A290),"Upcoming",IF(AND(B290&lt;&gt;"",TODAY()&gt;B290),"Completed","Active"))))</f>
        <v/>
      </c>
    </row>
    <row r="291">
      <c r="A291" s="2">
        <f>IF(Data!A291="","",IF(ISNUMBER(Data!C291),Data!C291,IFERROR(DATEVALUE(Data!C291),IFERROR(DATEVALUE(SUBSTITUTE(Data!C291,"-"," ")),""))))</f>
        <v/>
      </c>
      <c r="B291" s="2">
        <f>IF(Data!A291="","",IF(ISNUMBER(Data!D291),Data!D291,IFERROR(DATEVALUE(Data!D291),IFERROR(DATEVALUE(SUBSTITUTE(Data!D291,"-"," ")),""))))</f>
        <v/>
      </c>
      <c r="C291">
        <f>IF(Data!A291="","",IF(AND(A291="",B291=""),"Undated",IF(AND(A291&lt;&gt;"",TODAY()&lt;A291),"Upcoming",IF(AND(B291&lt;&gt;"",TODAY()&gt;B291),"Completed","Active"))))</f>
        <v/>
      </c>
    </row>
    <row r="292">
      <c r="A292" s="2">
        <f>IF(Data!A292="","",IF(ISNUMBER(Data!C292),Data!C292,IFERROR(DATEVALUE(Data!C292),IFERROR(DATEVALUE(SUBSTITUTE(Data!C292,"-"," ")),""))))</f>
        <v/>
      </c>
      <c r="B292" s="2">
        <f>IF(Data!A292="","",IF(ISNUMBER(Data!D292),Data!D292,IFERROR(DATEVALUE(Data!D292),IFERROR(DATEVALUE(SUBSTITUTE(Data!D292,"-"," ")),""))))</f>
        <v/>
      </c>
      <c r="C292">
        <f>IF(Data!A292="","",IF(AND(A292="",B292=""),"Undated",IF(AND(A292&lt;&gt;"",TODAY()&lt;A292),"Upcoming",IF(AND(B292&lt;&gt;"",TODAY()&gt;B292),"Completed","Active"))))</f>
        <v/>
      </c>
    </row>
    <row r="293">
      <c r="A293" s="2">
        <f>IF(Data!A293="","",IF(ISNUMBER(Data!C293),Data!C293,IFERROR(DATEVALUE(Data!C293),IFERROR(DATEVALUE(SUBSTITUTE(Data!C293,"-"," ")),""))))</f>
        <v/>
      </c>
      <c r="B293" s="2">
        <f>IF(Data!A293="","",IF(ISNUMBER(Data!D293),Data!D293,IFERROR(DATEVALUE(Data!D293),IFERROR(DATEVALUE(SUBSTITUTE(Data!D293,"-"," ")),""))))</f>
        <v/>
      </c>
      <c r="C293">
        <f>IF(Data!A293="","",IF(AND(A293="",B293=""),"Undated",IF(AND(A293&lt;&gt;"",TODAY()&lt;A293),"Upcoming",IF(AND(B293&lt;&gt;"",TODAY()&gt;B293),"Completed","Active"))))</f>
        <v/>
      </c>
    </row>
    <row r="294">
      <c r="A294" s="2">
        <f>IF(Data!A294="","",IF(ISNUMBER(Data!C294),Data!C294,IFERROR(DATEVALUE(Data!C294),IFERROR(DATEVALUE(SUBSTITUTE(Data!C294,"-"," ")),""))))</f>
        <v/>
      </c>
      <c r="B294" s="2">
        <f>IF(Data!A294="","",IF(ISNUMBER(Data!D294),Data!D294,IFERROR(DATEVALUE(Data!D294),IFERROR(DATEVALUE(SUBSTITUTE(Data!D294,"-"," ")),""))))</f>
        <v/>
      </c>
      <c r="C294">
        <f>IF(Data!A294="","",IF(AND(A294="",B294=""),"Undated",IF(AND(A294&lt;&gt;"",TODAY()&lt;A294),"Upcoming",IF(AND(B294&lt;&gt;"",TODAY()&gt;B294),"Completed","Active"))))</f>
        <v/>
      </c>
    </row>
    <row r="295">
      <c r="A295" s="2">
        <f>IF(Data!A295="","",IF(ISNUMBER(Data!C295),Data!C295,IFERROR(DATEVALUE(Data!C295),IFERROR(DATEVALUE(SUBSTITUTE(Data!C295,"-"," ")),""))))</f>
        <v/>
      </c>
      <c r="B295" s="2">
        <f>IF(Data!A295="","",IF(ISNUMBER(Data!D295),Data!D295,IFERROR(DATEVALUE(Data!D295),IFERROR(DATEVALUE(SUBSTITUTE(Data!D295,"-"," ")),""))))</f>
        <v/>
      </c>
      <c r="C295">
        <f>IF(Data!A295="","",IF(AND(A295="",B295=""),"Undated",IF(AND(A295&lt;&gt;"",TODAY()&lt;A295),"Upcoming",IF(AND(B295&lt;&gt;"",TODAY()&gt;B295),"Completed","Active"))))</f>
        <v/>
      </c>
    </row>
    <row r="296">
      <c r="A296" s="2">
        <f>IF(Data!A296="","",IF(ISNUMBER(Data!C296),Data!C296,IFERROR(DATEVALUE(Data!C296),IFERROR(DATEVALUE(SUBSTITUTE(Data!C296,"-"," ")),""))))</f>
        <v/>
      </c>
      <c r="B296" s="2">
        <f>IF(Data!A296="","",IF(ISNUMBER(Data!D296),Data!D296,IFERROR(DATEVALUE(Data!D296),IFERROR(DATEVALUE(SUBSTITUTE(Data!D296,"-"," ")),""))))</f>
        <v/>
      </c>
      <c r="C296">
        <f>IF(Data!A296="","",IF(AND(A296="",B296=""),"Undated",IF(AND(A296&lt;&gt;"",TODAY()&lt;A296),"Upcoming",IF(AND(B296&lt;&gt;"",TODAY()&gt;B296),"Completed","Active"))))</f>
        <v/>
      </c>
    </row>
    <row r="297">
      <c r="A297" s="2">
        <f>IF(Data!A297="","",IF(ISNUMBER(Data!C297),Data!C297,IFERROR(DATEVALUE(Data!C297),IFERROR(DATEVALUE(SUBSTITUTE(Data!C297,"-"," ")),""))))</f>
        <v/>
      </c>
      <c r="B297" s="2">
        <f>IF(Data!A297="","",IF(ISNUMBER(Data!D297),Data!D297,IFERROR(DATEVALUE(Data!D297),IFERROR(DATEVALUE(SUBSTITUTE(Data!D297,"-"," ")),""))))</f>
        <v/>
      </c>
      <c r="C297">
        <f>IF(Data!A297="","",IF(AND(A297="",B297=""),"Undated",IF(AND(A297&lt;&gt;"",TODAY()&lt;A297),"Upcoming",IF(AND(B297&lt;&gt;"",TODAY()&gt;B297),"Completed","Active"))))</f>
        <v/>
      </c>
    </row>
    <row r="298">
      <c r="A298" s="2">
        <f>IF(Data!A298="","",IF(ISNUMBER(Data!C298),Data!C298,IFERROR(DATEVALUE(Data!C298),IFERROR(DATEVALUE(SUBSTITUTE(Data!C298,"-"," ")),""))))</f>
        <v/>
      </c>
      <c r="B298" s="2">
        <f>IF(Data!A298="","",IF(ISNUMBER(Data!D298),Data!D298,IFERROR(DATEVALUE(Data!D298),IFERROR(DATEVALUE(SUBSTITUTE(Data!D298,"-"," ")),""))))</f>
        <v/>
      </c>
      <c r="C298">
        <f>IF(Data!A298="","",IF(AND(A298="",B298=""),"Undated",IF(AND(A298&lt;&gt;"",TODAY()&lt;A298),"Upcoming",IF(AND(B298&lt;&gt;"",TODAY()&gt;B298),"Completed","Active"))))</f>
        <v/>
      </c>
    </row>
    <row r="299">
      <c r="A299" s="2">
        <f>IF(Data!A299="","",IF(ISNUMBER(Data!C299),Data!C299,IFERROR(DATEVALUE(Data!C299),IFERROR(DATEVALUE(SUBSTITUTE(Data!C299,"-"," ")),""))))</f>
        <v/>
      </c>
      <c r="B299" s="2">
        <f>IF(Data!A299="","",IF(ISNUMBER(Data!D299),Data!D299,IFERROR(DATEVALUE(Data!D299),IFERROR(DATEVALUE(SUBSTITUTE(Data!D299,"-"," ")),""))))</f>
        <v/>
      </c>
      <c r="C299">
        <f>IF(Data!A299="","",IF(AND(A299="",B299=""),"Undated",IF(AND(A299&lt;&gt;"",TODAY()&lt;A299),"Upcoming",IF(AND(B299&lt;&gt;"",TODAY()&gt;B299),"Completed","Active"))))</f>
        <v/>
      </c>
    </row>
    <row r="300">
      <c r="A300" s="2">
        <f>IF(Data!A300="","",IF(ISNUMBER(Data!C300),Data!C300,IFERROR(DATEVALUE(Data!C300),IFERROR(DATEVALUE(SUBSTITUTE(Data!C300,"-"," ")),""))))</f>
        <v/>
      </c>
      <c r="B300" s="2">
        <f>IF(Data!A300="","",IF(ISNUMBER(Data!D300),Data!D300,IFERROR(DATEVALUE(Data!D300),IFERROR(DATEVALUE(SUBSTITUTE(Data!D300,"-"," ")),""))))</f>
        <v/>
      </c>
      <c r="C300">
        <f>IF(Data!A300="","",IF(AND(A300="",B300=""),"Undated",IF(AND(A300&lt;&gt;"",TODAY()&lt;A300),"Upcoming",IF(AND(B300&lt;&gt;"",TODAY()&gt;B300),"Completed","Active"))))</f>
        <v/>
      </c>
    </row>
    <row r="301">
      <c r="A301" s="2">
        <f>IF(Data!A301="","",IF(ISNUMBER(Data!C301),Data!C301,IFERROR(DATEVALUE(Data!C301),IFERROR(DATEVALUE(SUBSTITUTE(Data!C301,"-"," ")),""))))</f>
        <v/>
      </c>
      <c r="B301" s="2">
        <f>IF(Data!A301="","",IF(ISNUMBER(Data!D301),Data!D301,IFERROR(DATEVALUE(Data!D301),IFERROR(DATEVALUE(SUBSTITUTE(Data!D301,"-"," ")),""))))</f>
        <v/>
      </c>
      <c r="C301">
        <f>IF(Data!A301="","",IF(AND(A301="",B301=""),"Undated",IF(AND(A301&lt;&gt;"",TODAY()&lt;A301),"Upcoming",IF(AND(B301&lt;&gt;"",TODAY()&gt;B301),"Completed","Active"))))</f>
        <v/>
      </c>
    </row>
    <row r="302">
      <c r="A302" s="2">
        <f>IF(Data!A302="","",IF(ISNUMBER(Data!C302),Data!C302,IFERROR(DATEVALUE(Data!C302),IFERROR(DATEVALUE(SUBSTITUTE(Data!C302,"-"," ")),""))))</f>
        <v/>
      </c>
      <c r="B302" s="2">
        <f>IF(Data!A302="","",IF(ISNUMBER(Data!D302),Data!D302,IFERROR(DATEVALUE(Data!D302),IFERROR(DATEVALUE(SUBSTITUTE(Data!D302,"-"," ")),""))))</f>
        <v/>
      </c>
      <c r="C302">
        <f>IF(Data!A302="","",IF(AND(A302="",B302=""),"Undated",IF(AND(A302&lt;&gt;"",TODAY()&lt;A302),"Upcoming",IF(AND(B302&lt;&gt;"",TODAY()&gt;B302),"Completed","Active"))))</f>
        <v/>
      </c>
    </row>
    <row r="303">
      <c r="A303" s="2">
        <f>IF(Data!A303="","",IF(ISNUMBER(Data!C303),Data!C303,IFERROR(DATEVALUE(Data!C303),IFERROR(DATEVALUE(SUBSTITUTE(Data!C303,"-"," ")),""))))</f>
        <v/>
      </c>
      <c r="B303" s="2">
        <f>IF(Data!A303="","",IF(ISNUMBER(Data!D303),Data!D303,IFERROR(DATEVALUE(Data!D303),IFERROR(DATEVALUE(SUBSTITUTE(Data!D303,"-"," ")),""))))</f>
        <v/>
      </c>
      <c r="C303">
        <f>IF(Data!A303="","",IF(AND(A303="",B303=""),"Undated",IF(AND(A303&lt;&gt;"",TODAY()&lt;A303),"Upcoming",IF(AND(B303&lt;&gt;"",TODAY()&gt;B303),"Completed","Active"))))</f>
        <v/>
      </c>
    </row>
    <row r="304">
      <c r="A304" s="2">
        <f>IF(Data!A304="","",IF(ISNUMBER(Data!C304),Data!C304,IFERROR(DATEVALUE(Data!C304),IFERROR(DATEVALUE(SUBSTITUTE(Data!C304,"-"," ")),""))))</f>
        <v/>
      </c>
      <c r="B304" s="2">
        <f>IF(Data!A304="","",IF(ISNUMBER(Data!D304),Data!D304,IFERROR(DATEVALUE(Data!D304),IFERROR(DATEVALUE(SUBSTITUTE(Data!D304,"-"," ")),""))))</f>
        <v/>
      </c>
      <c r="C304">
        <f>IF(Data!A304="","",IF(AND(A304="",B304=""),"Undated",IF(AND(A304&lt;&gt;"",TODAY()&lt;A304),"Upcoming",IF(AND(B304&lt;&gt;"",TODAY()&gt;B304),"Completed","Active"))))</f>
        <v/>
      </c>
    </row>
    <row r="305">
      <c r="A305" s="2">
        <f>IF(Data!A305="","",IF(ISNUMBER(Data!C305),Data!C305,IFERROR(DATEVALUE(Data!C305),IFERROR(DATEVALUE(SUBSTITUTE(Data!C305,"-"," ")),""))))</f>
        <v/>
      </c>
      <c r="B305" s="2">
        <f>IF(Data!A305="","",IF(ISNUMBER(Data!D305),Data!D305,IFERROR(DATEVALUE(Data!D305),IFERROR(DATEVALUE(SUBSTITUTE(Data!D305,"-"," ")),""))))</f>
        <v/>
      </c>
      <c r="C305">
        <f>IF(Data!A305="","",IF(AND(A305="",B305=""),"Undated",IF(AND(A305&lt;&gt;"",TODAY()&lt;A305),"Upcoming",IF(AND(B305&lt;&gt;"",TODAY()&gt;B305),"Completed","Active"))))</f>
        <v/>
      </c>
    </row>
    <row r="306">
      <c r="A306" s="2">
        <f>IF(Data!A306="","",IF(ISNUMBER(Data!C306),Data!C306,IFERROR(DATEVALUE(Data!C306),IFERROR(DATEVALUE(SUBSTITUTE(Data!C306,"-"," ")),""))))</f>
        <v/>
      </c>
      <c r="B306" s="2">
        <f>IF(Data!A306="","",IF(ISNUMBER(Data!D306),Data!D306,IFERROR(DATEVALUE(Data!D306),IFERROR(DATEVALUE(SUBSTITUTE(Data!D306,"-"," ")),""))))</f>
        <v/>
      </c>
      <c r="C306">
        <f>IF(Data!A306="","",IF(AND(A306="",B306=""),"Undated",IF(AND(A306&lt;&gt;"",TODAY()&lt;A306),"Upcoming",IF(AND(B306&lt;&gt;"",TODAY()&gt;B306),"Completed","Active"))))</f>
        <v/>
      </c>
    </row>
    <row r="307">
      <c r="A307" s="2">
        <f>IF(Data!A307="","",IF(ISNUMBER(Data!C307),Data!C307,IFERROR(DATEVALUE(Data!C307),IFERROR(DATEVALUE(SUBSTITUTE(Data!C307,"-"," ")),""))))</f>
        <v/>
      </c>
      <c r="B307" s="2">
        <f>IF(Data!A307="","",IF(ISNUMBER(Data!D307),Data!D307,IFERROR(DATEVALUE(Data!D307),IFERROR(DATEVALUE(SUBSTITUTE(Data!D307,"-"," ")),""))))</f>
        <v/>
      </c>
      <c r="C307">
        <f>IF(Data!A307="","",IF(AND(A307="",B307=""),"Undated",IF(AND(A307&lt;&gt;"",TODAY()&lt;A307),"Upcoming",IF(AND(B307&lt;&gt;"",TODAY()&gt;B307),"Completed","Active"))))</f>
        <v/>
      </c>
    </row>
    <row r="308">
      <c r="A308" s="2">
        <f>IF(Data!A308="","",IF(ISNUMBER(Data!C308),Data!C308,IFERROR(DATEVALUE(Data!C308),IFERROR(DATEVALUE(SUBSTITUTE(Data!C308,"-"," ")),""))))</f>
        <v/>
      </c>
      <c r="B308" s="2">
        <f>IF(Data!A308="","",IF(ISNUMBER(Data!D308),Data!D308,IFERROR(DATEVALUE(Data!D308),IFERROR(DATEVALUE(SUBSTITUTE(Data!D308,"-"," ")),""))))</f>
        <v/>
      </c>
      <c r="C308">
        <f>IF(Data!A308="","",IF(AND(A308="",B308=""),"Undated",IF(AND(A308&lt;&gt;"",TODAY()&lt;A308),"Upcoming",IF(AND(B308&lt;&gt;"",TODAY()&gt;B308),"Completed","Active"))))</f>
        <v/>
      </c>
    </row>
    <row r="309">
      <c r="A309" s="2">
        <f>IF(Data!A309="","",IF(ISNUMBER(Data!C309),Data!C309,IFERROR(DATEVALUE(Data!C309),IFERROR(DATEVALUE(SUBSTITUTE(Data!C309,"-"," ")),""))))</f>
        <v/>
      </c>
      <c r="B309" s="2">
        <f>IF(Data!A309="","",IF(ISNUMBER(Data!D309),Data!D309,IFERROR(DATEVALUE(Data!D309),IFERROR(DATEVALUE(SUBSTITUTE(Data!D309,"-"," ")),""))))</f>
        <v/>
      </c>
      <c r="C309">
        <f>IF(Data!A309="","",IF(AND(A309="",B309=""),"Undated",IF(AND(A309&lt;&gt;"",TODAY()&lt;A309),"Upcoming",IF(AND(B309&lt;&gt;"",TODAY()&gt;B309),"Completed","Active"))))</f>
        <v/>
      </c>
    </row>
    <row r="310">
      <c r="A310" s="2">
        <f>IF(Data!A310="","",IF(ISNUMBER(Data!C310),Data!C310,IFERROR(DATEVALUE(Data!C310),IFERROR(DATEVALUE(SUBSTITUTE(Data!C310,"-"," ")),""))))</f>
        <v/>
      </c>
      <c r="B310" s="2">
        <f>IF(Data!A310="","",IF(ISNUMBER(Data!D310),Data!D310,IFERROR(DATEVALUE(Data!D310),IFERROR(DATEVALUE(SUBSTITUTE(Data!D310,"-"," ")),""))))</f>
        <v/>
      </c>
      <c r="C310">
        <f>IF(Data!A310="","",IF(AND(A310="",B310=""),"Undated",IF(AND(A310&lt;&gt;"",TODAY()&lt;A310),"Upcoming",IF(AND(B310&lt;&gt;"",TODAY()&gt;B310),"Completed","Active"))))</f>
        <v/>
      </c>
    </row>
    <row r="311">
      <c r="A311" s="2">
        <f>IF(Data!A311="","",IF(ISNUMBER(Data!C311),Data!C311,IFERROR(DATEVALUE(Data!C311),IFERROR(DATEVALUE(SUBSTITUTE(Data!C311,"-"," ")),""))))</f>
        <v/>
      </c>
      <c r="B311" s="2">
        <f>IF(Data!A311="","",IF(ISNUMBER(Data!D311),Data!D311,IFERROR(DATEVALUE(Data!D311),IFERROR(DATEVALUE(SUBSTITUTE(Data!D311,"-"," ")),""))))</f>
        <v/>
      </c>
      <c r="C311">
        <f>IF(Data!A311="","",IF(AND(A311="",B311=""),"Undated",IF(AND(A311&lt;&gt;"",TODAY()&lt;A311),"Upcoming",IF(AND(B311&lt;&gt;"",TODAY()&gt;B311),"Completed","Active"))))</f>
        <v/>
      </c>
    </row>
    <row r="312">
      <c r="A312" s="2">
        <f>IF(Data!A312="","",IF(ISNUMBER(Data!C312),Data!C312,IFERROR(DATEVALUE(Data!C312),IFERROR(DATEVALUE(SUBSTITUTE(Data!C312,"-"," ")),""))))</f>
        <v/>
      </c>
      <c r="B312" s="2">
        <f>IF(Data!A312="","",IF(ISNUMBER(Data!D312),Data!D312,IFERROR(DATEVALUE(Data!D312),IFERROR(DATEVALUE(SUBSTITUTE(Data!D312,"-"," ")),""))))</f>
        <v/>
      </c>
      <c r="C312">
        <f>IF(Data!A312="","",IF(AND(A312="",B312=""),"Undated",IF(AND(A312&lt;&gt;"",TODAY()&lt;A312),"Upcoming",IF(AND(B312&lt;&gt;"",TODAY()&gt;B312),"Completed","Active"))))</f>
        <v/>
      </c>
    </row>
    <row r="313">
      <c r="A313" s="2">
        <f>IF(Data!A313="","",IF(ISNUMBER(Data!C313),Data!C313,IFERROR(DATEVALUE(Data!C313),IFERROR(DATEVALUE(SUBSTITUTE(Data!C313,"-"," ")),""))))</f>
        <v/>
      </c>
      <c r="B313" s="2">
        <f>IF(Data!A313="","",IF(ISNUMBER(Data!D313),Data!D313,IFERROR(DATEVALUE(Data!D313),IFERROR(DATEVALUE(SUBSTITUTE(Data!D313,"-"," ")),""))))</f>
        <v/>
      </c>
      <c r="C313">
        <f>IF(Data!A313="","",IF(AND(A313="",B313=""),"Undated",IF(AND(A313&lt;&gt;"",TODAY()&lt;A313),"Upcoming",IF(AND(B313&lt;&gt;"",TODAY()&gt;B313),"Completed","Active"))))</f>
        <v/>
      </c>
    </row>
    <row r="314">
      <c r="A314" s="2">
        <f>IF(Data!A314="","",IF(ISNUMBER(Data!C314),Data!C314,IFERROR(DATEVALUE(Data!C314),IFERROR(DATEVALUE(SUBSTITUTE(Data!C314,"-"," ")),""))))</f>
        <v/>
      </c>
      <c r="B314" s="2">
        <f>IF(Data!A314="","",IF(ISNUMBER(Data!D314),Data!D314,IFERROR(DATEVALUE(Data!D314),IFERROR(DATEVALUE(SUBSTITUTE(Data!D314,"-"," ")),""))))</f>
        <v/>
      </c>
      <c r="C314">
        <f>IF(Data!A314="","",IF(AND(A314="",B314=""),"Undated",IF(AND(A314&lt;&gt;"",TODAY()&lt;A314),"Upcoming",IF(AND(B314&lt;&gt;"",TODAY()&gt;B314),"Completed","Active"))))</f>
        <v/>
      </c>
    </row>
    <row r="315">
      <c r="A315" s="2">
        <f>IF(Data!A315="","",IF(ISNUMBER(Data!C315),Data!C315,IFERROR(DATEVALUE(Data!C315),IFERROR(DATEVALUE(SUBSTITUTE(Data!C315,"-"," ")),""))))</f>
        <v/>
      </c>
      <c r="B315" s="2">
        <f>IF(Data!A315="","",IF(ISNUMBER(Data!D315),Data!D315,IFERROR(DATEVALUE(Data!D315),IFERROR(DATEVALUE(SUBSTITUTE(Data!D315,"-"," ")),""))))</f>
        <v/>
      </c>
      <c r="C315">
        <f>IF(Data!A315="","",IF(AND(A315="",B315=""),"Undated",IF(AND(A315&lt;&gt;"",TODAY()&lt;A315),"Upcoming",IF(AND(B315&lt;&gt;"",TODAY()&gt;B315),"Completed","Active"))))</f>
        <v/>
      </c>
    </row>
    <row r="316">
      <c r="A316" s="2">
        <f>IF(Data!A316="","",IF(ISNUMBER(Data!C316),Data!C316,IFERROR(DATEVALUE(Data!C316),IFERROR(DATEVALUE(SUBSTITUTE(Data!C316,"-"," ")),""))))</f>
        <v/>
      </c>
      <c r="B316" s="2">
        <f>IF(Data!A316="","",IF(ISNUMBER(Data!D316),Data!D316,IFERROR(DATEVALUE(Data!D316),IFERROR(DATEVALUE(SUBSTITUTE(Data!D316,"-"," ")),""))))</f>
        <v/>
      </c>
      <c r="C316">
        <f>IF(Data!A316="","",IF(AND(A316="",B316=""),"Undated",IF(AND(A316&lt;&gt;"",TODAY()&lt;A316),"Upcoming",IF(AND(B316&lt;&gt;"",TODAY()&gt;B316),"Completed","Active"))))</f>
        <v/>
      </c>
    </row>
    <row r="317">
      <c r="A317" s="2">
        <f>IF(Data!A317="","",IF(ISNUMBER(Data!C317),Data!C317,IFERROR(DATEVALUE(Data!C317),IFERROR(DATEVALUE(SUBSTITUTE(Data!C317,"-"," ")),""))))</f>
        <v/>
      </c>
      <c r="B317" s="2">
        <f>IF(Data!A317="","",IF(ISNUMBER(Data!D317),Data!D317,IFERROR(DATEVALUE(Data!D317),IFERROR(DATEVALUE(SUBSTITUTE(Data!D317,"-"," ")),""))))</f>
        <v/>
      </c>
      <c r="C317">
        <f>IF(Data!A317="","",IF(AND(A317="",B317=""),"Undated",IF(AND(A317&lt;&gt;"",TODAY()&lt;A317),"Upcoming",IF(AND(B317&lt;&gt;"",TODAY()&gt;B317),"Completed","Active"))))</f>
        <v/>
      </c>
    </row>
    <row r="318">
      <c r="A318" s="2">
        <f>IF(Data!A318="","",IF(ISNUMBER(Data!C318),Data!C318,IFERROR(DATEVALUE(Data!C318),IFERROR(DATEVALUE(SUBSTITUTE(Data!C318,"-"," ")),""))))</f>
        <v/>
      </c>
      <c r="B318" s="2">
        <f>IF(Data!A318="","",IF(ISNUMBER(Data!D318),Data!D318,IFERROR(DATEVALUE(Data!D318),IFERROR(DATEVALUE(SUBSTITUTE(Data!D318,"-"," ")),""))))</f>
        <v/>
      </c>
      <c r="C318">
        <f>IF(Data!A318="","",IF(AND(A318="",B318=""),"Undated",IF(AND(A318&lt;&gt;"",TODAY()&lt;A318),"Upcoming",IF(AND(B318&lt;&gt;"",TODAY()&gt;B318),"Completed","Active"))))</f>
        <v/>
      </c>
    </row>
    <row r="319">
      <c r="A319" s="2">
        <f>IF(Data!A319="","",IF(ISNUMBER(Data!C319),Data!C319,IFERROR(DATEVALUE(Data!C319),IFERROR(DATEVALUE(SUBSTITUTE(Data!C319,"-"," ")),""))))</f>
        <v/>
      </c>
      <c r="B319" s="2">
        <f>IF(Data!A319="","",IF(ISNUMBER(Data!D319),Data!D319,IFERROR(DATEVALUE(Data!D319),IFERROR(DATEVALUE(SUBSTITUTE(Data!D319,"-"," ")),""))))</f>
        <v/>
      </c>
      <c r="C319">
        <f>IF(Data!A319="","",IF(AND(A319="",B319=""),"Undated",IF(AND(A319&lt;&gt;"",TODAY()&lt;A319),"Upcoming",IF(AND(B319&lt;&gt;"",TODAY()&gt;B319),"Completed","Active"))))</f>
        <v/>
      </c>
    </row>
    <row r="320">
      <c r="A320" s="2">
        <f>IF(Data!A320="","",IF(ISNUMBER(Data!C320),Data!C320,IFERROR(DATEVALUE(Data!C320),IFERROR(DATEVALUE(SUBSTITUTE(Data!C320,"-"," ")),""))))</f>
        <v/>
      </c>
      <c r="B320" s="2">
        <f>IF(Data!A320="","",IF(ISNUMBER(Data!D320),Data!D320,IFERROR(DATEVALUE(Data!D320),IFERROR(DATEVALUE(SUBSTITUTE(Data!D320,"-"," ")),""))))</f>
        <v/>
      </c>
      <c r="C320">
        <f>IF(Data!A320="","",IF(AND(A320="",B320=""),"Undated",IF(AND(A320&lt;&gt;"",TODAY()&lt;A320),"Upcoming",IF(AND(B320&lt;&gt;"",TODAY()&gt;B320),"Completed","Active"))))</f>
        <v/>
      </c>
    </row>
    <row r="321">
      <c r="A321" s="2">
        <f>IF(Data!A321="","",IF(ISNUMBER(Data!C321),Data!C321,IFERROR(DATEVALUE(Data!C321),IFERROR(DATEVALUE(SUBSTITUTE(Data!C321,"-"," ")),""))))</f>
        <v/>
      </c>
      <c r="B321" s="2">
        <f>IF(Data!A321="","",IF(ISNUMBER(Data!D321),Data!D321,IFERROR(DATEVALUE(Data!D321),IFERROR(DATEVALUE(SUBSTITUTE(Data!D321,"-"," ")),""))))</f>
        <v/>
      </c>
      <c r="C321">
        <f>IF(Data!A321="","",IF(AND(A321="",B321=""),"Undated",IF(AND(A321&lt;&gt;"",TODAY()&lt;A321),"Upcoming",IF(AND(B321&lt;&gt;"",TODAY()&gt;B321),"Completed","Active"))))</f>
        <v/>
      </c>
    </row>
    <row r="322">
      <c r="A322" s="2">
        <f>IF(Data!A322="","",IF(ISNUMBER(Data!C322),Data!C322,IFERROR(DATEVALUE(Data!C322),IFERROR(DATEVALUE(SUBSTITUTE(Data!C322,"-"," ")),""))))</f>
        <v/>
      </c>
      <c r="B322" s="2">
        <f>IF(Data!A322="","",IF(ISNUMBER(Data!D322),Data!D322,IFERROR(DATEVALUE(Data!D322),IFERROR(DATEVALUE(SUBSTITUTE(Data!D322,"-"," ")),""))))</f>
        <v/>
      </c>
      <c r="C322">
        <f>IF(Data!A322="","",IF(AND(A322="",B322=""),"Undated",IF(AND(A322&lt;&gt;"",TODAY()&lt;A322),"Upcoming",IF(AND(B322&lt;&gt;"",TODAY()&gt;B322),"Completed","Active"))))</f>
        <v/>
      </c>
    </row>
    <row r="323">
      <c r="A323" s="2">
        <f>IF(Data!A323="","",IF(ISNUMBER(Data!C323),Data!C323,IFERROR(DATEVALUE(Data!C323),IFERROR(DATEVALUE(SUBSTITUTE(Data!C323,"-"," ")),""))))</f>
        <v/>
      </c>
      <c r="B323" s="2">
        <f>IF(Data!A323="","",IF(ISNUMBER(Data!D323),Data!D323,IFERROR(DATEVALUE(Data!D323),IFERROR(DATEVALUE(SUBSTITUTE(Data!D323,"-"," ")),""))))</f>
        <v/>
      </c>
      <c r="C323">
        <f>IF(Data!A323="","",IF(AND(A323="",B323=""),"Undated",IF(AND(A323&lt;&gt;"",TODAY()&lt;A323),"Upcoming",IF(AND(B323&lt;&gt;"",TODAY()&gt;B323),"Completed","Active"))))</f>
        <v/>
      </c>
    </row>
    <row r="324">
      <c r="A324" s="2">
        <f>IF(Data!A324="","",IF(ISNUMBER(Data!C324),Data!C324,IFERROR(DATEVALUE(Data!C324),IFERROR(DATEVALUE(SUBSTITUTE(Data!C324,"-"," ")),""))))</f>
        <v/>
      </c>
      <c r="B324" s="2">
        <f>IF(Data!A324="","",IF(ISNUMBER(Data!D324),Data!D324,IFERROR(DATEVALUE(Data!D324),IFERROR(DATEVALUE(SUBSTITUTE(Data!D324,"-"," ")),""))))</f>
        <v/>
      </c>
      <c r="C324">
        <f>IF(Data!A324="","",IF(AND(A324="",B324=""),"Undated",IF(AND(A324&lt;&gt;"",TODAY()&lt;A324),"Upcoming",IF(AND(B324&lt;&gt;"",TODAY()&gt;B324),"Completed","Active"))))</f>
        <v/>
      </c>
    </row>
    <row r="325">
      <c r="A325" s="2">
        <f>IF(Data!A325="","",IF(ISNUMBER(Data!C325),Data!C325,IFERROR(DATEVALUE(Data!C325),IFERROR(DATEVALUE(SUBSTITUTE(Data!C325,"-"," ")),""))))</f>
        <v/>
      </c>
      <c r="B325" s="2">
        <f>IF(Data!A325="","",IF(ISNUMBER(Data!D325),Data!D325,IFERROR(DATEVALUE(Data!D325),IFERROR(DATEVALUE(SUBSTITUTE(Data!D325,"-"," ")),""))))</f>
        <v/>
      </c>
      <c r="C325">
        <f>IF(Data!A325="","",IF(AND(A325="",B325=""),"Undated",IF(AND(A325&lt;&gt;"",TODAY()&lt;A325),"Upcoming",IF(AND(B325&lt;&gt;"",TODAY()&gt;B325),"Completed","Active"))))</f>
        <v/>
      </c>
    </row>
    <row r="326">
      <c r="A326" s="2">
        <f>IF(Data!A326="","",IF(ISNUMBER(Data!C326),Data!C326,IFERROR(DATEVALUE(Data!C326),IFERROR(DATEVALUE(SUBSTITUTE(Data!C326,"-"," ")),""))))</f>
        <v/>
      </c>
      <c r="B326" s="2">
        <f>IF(Data!A326="","",IF(ISNUMBER(Data!D326),Data!D326,IFERROR(DATEVALUE(Data!D326),IFERROR(DATEVALUE(SUBSTITUTE(Data!D326,"-"," ")),""))))</f>
        <v/>
      </c>
      <c r="C326">
        <f>IF(Data!A326="","",IF(AND(A326="",B326=""),"Undated",IF(AND(A326&lt;&gt;"",TODAY()&lt;A326),"Upcoming",IF(AND(B326&lt;&gt;"",TODAY()&gt;B326),"Completed","Active"))))</f>
        <v/>
      </c>
    </row>
    <row r="327">
      <c r="A327" s="2">
        <f>IF(Data!A327="","",IF(ISNUMBER(Data!C327),Data!C327,IFERROR(DATEVALUE(Data!C327),IFERROR(DATEVALUE(SUBSTITUTE(Data!C327,"-"," ")),""))))</f>
        <v/>
      </c>
      <c r="B327" s="2">
        <f>IF(Data!A327="","",IF(ISNUMBER(Data!D327),Data!D327,IFERROR(DATEVALUE(Data!D327),IFERROR(DATEVALUE(SUBSTITUTE(Data!D327,"-"," ")),""))))</f>
        <v/>
      </c>
      <c r="C327">
        <f>IF(Data!A327="","",IF(AND(A327="",B327=""),"Undated",IF(AND(A327&lt;&gt;"",TODAY()&lt;A327),"Upcoming",IF(AND(B327&lt;&gt;"",TODAY()&gt;B327),"Completed","Active"))))</f>
        <v/>
      </c>
    </row>
    <row r="328">
      <c r="A328" s="2">
        <f>IF(Data!A328="","",IF(ISNUMBER(Data!C328),Data!C328,IFERROR(DATEVALUE(Data!C328),IFERROR(DATEVALUE(SUBSTITUTE(Data!C328,"-"," ")),""))))</f>
        <v/>
      </c>
      <c r="B328" s="2">
        <f>IF(Data!A328="","",IF(ISNUMBER(Data!D328),Data!D328,IFERROR(DATEVALUE(Data!D328),IFERROR(DATEVALUE(SUBSTITUTE(Data!D328,"-"," ")),""))))</f>
        <v/>
      </c>
      <c r="C328">
        <f>IF(Data!A328="","",IF(AND(A328="",B328=""),"Undated",IF(AND(A328&lt;&gt;"",TODAY()&lt;A328),"Upcoming",IF(AND(B328&lt;&gt;"",TODAY()&gt;B328),"Completed","Active"))))</f>
        <v/>
      </c>
    </row>
    <row r="329">
      <c r="A329" s="2">
        <f>IF(Data!A329="","",IF(ISNUMBER(Data!C329),Data!C329,IFERROR(DATEVALUE(Data!C329),IFERROR(DATEVALUE(SUBSTITUTE(Data!C329,"-"," ")),""))))</f>
        <v/>
      </c>
      <c r="B329" s="2">
        <f>IF(Data!A329="","",IF(ISNUMBER(Data!D329),Data!D329,IFERROR(DATEVALUE(Data!D329),IFERROR(DATEVALUE(SUBSTITUTE(Data!D329,"-"," ")),""))))</f>
        <v/>
      </c>
      <c r="C329">
        <f>IF(Data!A329="","",IF(AND(A329="",B329=""),"Undated",IF(AND(A329&lt;&gt;"",TODAY()&lt;A329),"Upcoming",IF(AND(B329&lt;&gt;"",TODAY()&gt;B329),"Completed","Active"))))</f>
        <v/>
      </c>
    </row>
    <row r="330">
      <c r="A330" s="2">
        <f>IF(Data!A330="","",IF(ISNUMBER(Data!C330),Data!C330,IFERROR(DATEVALUE(Data!C330),IFERROR(DATEVALUE(SUBSTITUTE(Data!C330,"-"," ")),""))))</f>
        <v/>
      </c>
      <c r="B330" s="2">
        <f>IF(Data!A330="","",IF(ISNUMBER(Data!D330),Data!D330,IFERROR(DATEVALUE(Data!D330),IFERROR(DATEVALUE(SUBSTITUTE(Data!D330,"-"," ")),""))))</f>
        <v/>
      </c>
      <c r="C330">
        <f>IF(Data!A330="","",IF(AND(A330="",B330=""),"Undated",IF(AND(A330&lt;&gt;"",TODAY()&lt;A330),"Upcoming",IF(AND(B330&lt;&gt;"",TODAY()&gt;B330),"Completed","Active"))))</f>
        <v/>
      </c>
    </row>
    <row r="331">
      <c r="A331" s="2">
        <f>IF(Data!A331="","",IF(ISNUMBER(Data!C331),Data!C331,IFERROR(DATEVALUE(Data!C331),IFERROR(DATEVALUE(SUBSTITUTE(Data!C331,"-"," ")),""))))</f>
        <v/>
      </c>
      <c r="B331" s="2">
        <f>IF(Data!A331="","",IF(ISNUMBER(Data!D331),Data!D331,IFERROR(DATEVALUE(Data!D331),IFERROR(DATEVALUE(SUBSTITUTE(Data!D331,"-"," ")),""))))</f>
        <v/>
      </c>
      <c r="C331">
        <f>IF(Data!A331="","",IF(AND(A331="",B331=""),"Undated",IF(AND(A331&lt;&gt;"",TODAY()&lt;A331),"Upcoming",IF(AND(B331&lt;&gt;"",TODAY()&gt;B331),"Completed","Active"))))</f>
        <v/>
      </c>
    </row>
    <row r="332">
      <c r="A332" s="2">
        <f>IF(Data!A332="","",IF(ISNUMBER(Data!C332),Data!C332,IFERROR(DATEVALUE(Data!C332),IFERROR(DATEVALUE(SUBSTITUTE(Data!C332,"-"," ")),""))))</f>
        <v/>
      </c>
      <c r="B332" s="2">
        <f>IF(Data!A332="","",IF(ISNUMBER(Data!D332),Data!D332,IFERROR(DATEVALUE(Data!D332),IFERROR(DATEVALUE(SUBSTITUTE(Data!D332,"-"," ")),""))))</f>
        <v/>
      </c>
      <c r="C332">
        <f>IF(Data!A332="","",IF(AND(A332="",B332=""),"Undated",IF(AND(A332&lt;&gt;"",TODAY()&lt;A332),"Upcoming",IF(AND(B332&lt;&gt;"",TODAY()&gt;B332),"Completed","Active"))))</f>
        <v/>
      </c>
    </row>
    <row r="333">
      <c r="A333" s="2">
        <f>IF(Data!A333="","",IF(ISNUMBER(Data!C333),Data!C333,IFERROR(DATEVALUE(Data!C333),IFERROR(DATEVALUE(SUBSTITUTE(Data!C333,"-"," ")),""))))</f>
        <v/>
      </c>
      <c r="B333" s="2">
        <f>IF(Data!A333="","",IF(ISNUMBER(Data!D333),Data!D333,IFERROR(DATEVALUE(Data!D333),IFERROR(DATEVALUE(SUBSTITUTE(Data!D333,"-"," ")),""))))</f>
        <v/>
      </c>
      <c r="C333">
        <f>IF(Data!A333="","",IF(AND(A333="",B333=""),"Undated",IF(AND(A333&lt;&gt;"",TODAY()&lt;A333),"Upcoming",IF(AND(B333&lt;&gt;"",TODAY()&gt;B333),"Completed","Active"))))</f>
        <v/>
      </c>
    </row>
    <row r="334">
      <c r="A334" s="2">
        <f>IF(Data!A334="","",IF(ISNUMBER(Data!C334),Data!C334,IFERROR(DATEVALUE(Data!C334),IFERROR(DATEVALUE(SUBSTITUTE(Data!C334,"-"," ")),""))))</f>
        <v/>
      </c>
      <c r="B334" s="2">
        <f>IF(Data!A334="","",IF(ISNUMBER(Data!D334),Data!D334,IFERROR(DATEVALUE(Data!D334),IFERROR(DATEVALUE(SUBSTITUTE(Data!D334,"-"," ")),""))))</f>
        <v/>
      </c>
      <c r="C334">
        <f>IF(Data!A334="","",IF(AND(A334="",B334=""),"Undated",IF(AND(A334&lt;&gt;"",TODAY()&lt;A334),"Upcoming",IF(AND(B334&lt;&gt;"",TODAY()&gt;B334),"Completed","Active"))))</f>
        <v/>
      </c>
    </row>
    <row r="335">
      <c r="A335" s="2">
        <f>IF(Data!A335="","",IF(ISNUMBER(Data!C335),Data!C335,IFERROR(DATEVALUE(Data!C335),IFERROR(DATEVALUE(SUBSTITUTE(Data!C335,"-"," ")),""))))</f>
        <v/>
      </c>
      <c r="B335" s="2">
        <f>IF(Data!A335="","",IF(ISNUMBER(Data!D335),Data!D335,IFERROR(DATEVALUE(Data!D335),IFERROR(DATEVALUE(SUBSTITUTE(Data!D335,"-"," ")),""))))</f>
        <v/>
      </c>
      <c r="C335">
        <f>IF(Data!A335="","",IF(AND(A335="",B335=""),"Undated",IF(AND(A335&lt;&gt;"",TODAY()&lt;A335),"Upcoming",IF(AND(B335&lt;&gt;"",TODAY()&gt;B335),"Completed","Active"))))</f>
        <v/>
      </c>
    </row>
    <row r="336">
      <c r="A336" s="2">
        <f>IF(Data!A336="","",IF(ISNUMBER(Data!C336),Data!C336,IFERROR(DATEVALUE(Data!C336),IFERROR(DATEVALUE(SUBSTITUTE(Data!C336,"-"," ")),""))))</f>
        <v/>
      </c>
      <c r="B336" s="2">
        <f>IF(Data!A336="","",IF(ISNUMBER(Data!D336),Data!D336,IFERROR(DATEVALUE(Data!D336),IFERROR(DATEVALUE(SUBSTITUTE(Data!D336,"-"," ")),""))))</f>
        <v/>
      </c>
      <c r="C336">
        <f>IF(Data!A336="","",IF(AND(A336="",B336=""),"Undated",IF(AND(A336&lt;&gt;"",TODAY()&lt;A336),"Upcoming",IF(AND(B336&lt;&gt;"",TODAY()&gt;B336),"Completed","Active"))))</f>
        <v/>
      </c>
    </row>
    <row r="337">
      <c r="A337" s="2">
        <f>IF(Data!A337="","",IF(ISNUMBER(Data!C337),Data!C337,IFERROR(DATEVALUE(Data!C337),IFERROR(DATEVALUE(SUBSTITUTE(Data!C337,"-"," ")),""))))</f>
        <v/>
      </c>
      <c r="B337" s="2">
        <f>IF(Data!A337="","",IF(ISNUMBER(Data!D337),Data!D337,IFERROR(DATEVALUE(Data!D337),IFERROR(DATEVALUE(SUBSTITUTE(Data!D337,"-"," ")),""))))</f>
        <v/>
      </c>
      <c r="C337">
        <f>IF(Data!A337="","",IF(AND(A337="",B337=""),"Undated",IF(AND(A337&lt;&gt;"",TODAY()&lt;A337),"Upcoming",IF(AND(B337&lt;&gt;"",TODAY()&gt;B337),"Completed","Active"))))</f>
        <v/>
      </c>
    </row>
    <row r="338">
      <c r="A338" s="2">
        <f>IF(Data!A338="","",IF(ISNUMBER(Data!C338),Data!C338,IFERROR(DATEVALUE(Data!C338),IFERROR(DATEVALUE(SUBSTITUTE(Data!C338,"-"," ")),""))))</f>
        <v/>
      </c>
      <c r="B338" s="2">
        <f>IF(Data!A338="","",IF(ISNUMBER(Data!D338),Data!D338,IFERROR(DATEVALUE(Data!D338),IFERROR(DATEVALUE(SUBSTITUTE(Data!D338,"-"," ")),""))))</f>
        <v/>
      </c>
      <c r="C338">
        <f>IF(Data!A338="","",IF(AND(A338="",B338=""),"Undated",IF(AND(A338&lt;&gt;"",TODAY()&lt;A338),"Upcoming",IF(AND(B338&lt;&gt;"",TODAY()&gt;B338),"Completed","Active"))))</f>
        <v/>
      </c>
    </row>
    <row r="339">
      <c r="A339" s="2">
        <f>IF(Data!A339="","",IF(ISNUMBER(Data!C339),Data!C339,IFERROR(DATEVALUE(Data!C339),IFERROR(DATEVALUE(SUBSTITUTE(Data!C339,"-"," ")),""))))</f>
        <v/>
      </c>
      <c r="B339" s="2">
        <f>IF(Data!A339="","",IF(ISNUMBER(Data!D339),Data!D339,IFERROR(DATEVALUE(Data!D339),IFERROR(DATEVALUE(SUBSTITUTE(Data!D339,"-"," ")),""))))</f>
        <v/>
      </c>
      <c r="C339">
        <f>IF(Data!A339="","",IF(AND(A339="",B339=""),"Undated",IF(AND(A339&lt;&gt;"",TODAY()&lt;A339),"Upcoming",IF(AND(B339&lt;&gt;"",TODAY()&gt;B339),"Completed","Active"))))</f>
        <v/>
      </c>
    </row>
    <row r="340">
      <c r="A340" s="2">
        <f>IF(Data!A340="","",IF(ISNUMBER(Data!C340),Data!C340,IFERROR(DATEVALUE(Data!C340),IFERROR(DATEVALUE(SUBSTITUTE(Data!C340,"-"," ")),""))))</f>
        <v/>
      </c>
      <c r="B340" s="2">
        <f>IF(Data!A340="","",IF(ISNUMBER(Data!D340),Data!D340,IFERROR(DATEVALUE(Data!D340),IFERROR(DATEVALUE(SUBSTITUTE(Data!D340,"-"," ")),""))))</f>
        <v/>
      </c>
      <c r="C340">
        <f>IF(Data!A340="","",IF(AND(A340="",B340=""),"Undated",IF(AND(A340&lt;&gt;"",TODAY()&lt;A340),"Upcoming",IF(AND(B340&lt;&gt;"",TODAY()&gt;B340),"Completed","Active"))))</f>
        <v/>
      </c>
    </row>
    <row r="341">
      <c r="A341" s="2">
        <f>IF(Data!A341="","",IF(ISNUMBER(Data!C341),Data!C341,IFERROR(DATEVALUE(Data!C341),IFERROR(DATEVALUE(SUBSTITUTE(Data!C341,"-"," ")),""))))</f>
        <v/>
      </c>
      <c r="B341" s="2">
        <f>IF(Data!A341="","",IF(ISNUMBER(Data!D341),Data!D341,IFERROR(DATEVALUE(Data!D341),IFERROR(DATEVALUE(SUBSTITUTE(Data!D341,"-"," ")),""))))</f>
        <v/>
      </c>
      <c r="C341">
        <f>IF(Data!A341="","",IF(AND(A341="",B341=""),"Undated",IF(AND(A341&lt;&gt;"",TODAY()&lt;A341),"Upcoming",IF(AND(B341&lt;&gt;"",TODAY()&gt;B341),"Completed","Active"))))</f>
        <v/>
      </c>
    </row>
    <row r="342">
      <c r="A342" s="2">
        <f>IF(Data!A342="","",IF(ISNUMBER(Data!C342),Data!C342,IFERROR(DATEVALUE(Data!C342),IFERROR(DATEVALUE(SUBSTITUTE(Data!C342,"-"," ")),""))))</f>
        <v/>
      </c>
      <c r="B342" s="2">
        <f>IF(Data!A342="","",IF(ISNUMBER(Data!D342),Data!D342,IFERROR(DATEVALUE(Data!D342),IFERROR(DATEVALUE(SUBSTITUTE(Data!D342,"-"," ")),""))))</f>
        <v/>
      </c>
      <c r="C342">
        <f>IF(Data!A342="","",IF(AND(A342="",B342=""),"Undated",IF(AND(A342&lt;&gt;"",TODAY()&lt;A342),"Upcoming",IF(AND(B342&lt;&gt;"",TODAY()&gt;B342),"Completed","Active"))))</f>
        <v/>
      </c>
    </row>
    <row r="343">
      <c r="A343" s="2">
        <f>IF(Data!A343="","",IF(ISNUMBER(Data!C343),Data!C343,IFERROR(DATEVALUE(Data!C343),IFERROR(DATEVALUE(SUBSTITUTE(Data!C343,"-"," ")),""))))</f>
        <v/>
      </c>
      <c r="B343" s="2">
        <f>IF(Data!A343="","",IF(ISNUMBER(Data!D343),Data!D343,IFERROR(DATEVALUE(Data!D343),IFERROR(DATEVALUE(SUBSTITUTE(Data!D343,"-"," ")),""))))</f>
        <v/>
      </c>
      <c r="C343">
        <f>IF(Data!A343="","",IF(AND(A343="",B343=""),"Undated",IF(AND(A343&lt;&gt;"",TODAY()&lt;A343),"Upcoming",IF(AND(B343&lt;&gt;"",TODAY()&gt;B343),"Completed","Active"))))</f>
        <v/>
      </c>
    </row>
    <row r="344">
      <c r="A344" s="2">
        <f>IF(Data!A344="","",IF(ISNUMBER(Data!C344),Data!C344,IFERROR(DATEVALUE(Data!C344),IFERROR(DATEVALUE(SUBSTITUTE(Data!C344,"-"," ")),""))))</f>
        <v/>
      </c>
      <c r="B344" s="2">
        <f>IF(Data!A344="","",IF(ISNUMBER(Data!D344),Data!D344,IFERROR(DATEVALUE(Data!D344),IFERROR(DATEVALUE(SUBSTITUTE(Data!D344,"-"," ")),""))))</f>
        <v/>
      </c>
      <c r="C344">
        <f>IF(Data!A344="","",IF(AND(A344="",B344=""),"Undated",IF(AND(A344&lt;&gt;"",TODAY()&lt;A344),"Upcoming",IF(AND(B344&lt;&gt;"",TODAY()&gt;B344),"Completed","Active"))))</f>
        <v/>
      </c>
    </row>
    <row r="345">
      <c r="A345" s="2">
        <f>IF(Data!A345="","",IF(ISNUMBER(Data!C345),Data!C345,IFERROR(DATEVALUE(Data!C345),IFERROR(DATEVALUE(SUBSTITUTE(Data!C345,"-"," ")),""))))</f>
        <v/>
      </c>
      <c r="B345" s="2">
        <f>IF(Data!A345="","",IF(ISNUMBER(Data!D345),Data!D345,IFERROR(DATEVALUE(Data!D345),IFERROR(DATEVALUE(SUBSTITUTE(Data!D345,"-"," ")),""))))</f>
        <v/>
      </c>
      <c r="C345">
        <f>IF(Data!A345="","",IF(AND(A345="",B345=""),"Undated",IF(AND(A345&lt;&gt;"",TODAY()&lt;A345),"Upcoming",IF(AND(B345&lt;&gt;"",TODAY()&gt;B345),"Completed","Active"))))</f>
        <v/>
      </c>
    </row>
    <row r="346">
      <c r="A346" s="2">
        <f>IF(Data!A346="","",IF(ISNUMBER(Data!C346),Data!C346,IFERROR(DATEVALUE(Data!C346),IFERROR(DATEVALUE(SUBSTITUTE(Data!C346,"-"," ")),""))))</f>
        <v/>
      </c>
      <c r="B346" s="2">
        <f>IF(Data!A346="","",IF(ISNUMBER(Data!D346),Data!D346,IFERROR(DATEVALUE(Data!D346),IFERROR(DATEVALUE(SUBSTITUTE(Data!D346,"-"," ")),""))))</f>
        <v/>
      </c>
      <c r="C346">
        <f>IF(Data!A346="","",IF(AND(A346="",B346=""),"Undated",IF(AND(A346&lt;&gt;"",TODAY()&lt;A346),"Upcoming",IF(AND(B346&lt;&gt;"",TODAY()&gt;B346),"Completed","Active"))))</f>
        <v/>
      </c>
    </row>
    <row r="347">
      <c r="A347" s="2">
        <f>IF(Data!A347="","",IF(ISNUMBER(Data!C347),Data!C347,IFERROR(DATEVALUE(Data!C347),IFERROR(DATEVALUE(SUBSTITUTE(Data!C347,"-"," ")),""))))</f>
        <v/>
      </c>
      <c r="B347" s="2">
        <f>IF(Data!A347="","",IF(ISNUMBER(Data!D347),Data!D347,IFERROR(DATEVALUE(Data!D347),IFERROR(DATEVALUE(SUBSTITUTE(Data!D347,"-"," ")),""))))</f>
        <v/>
      </c>
      <c r="C347">
        <f>IF(Data!A347="","",IF(AND(A347="",B347=""),"Undated",IF(AND(A347&lt;&gt;"",TODAY()&lt;A347),"Upcoming",IF(AND(B347&lt;&gt;"",TODAY()&gt;B347),"Completed","Active"))))</f>
        <v/>
      </c>
    </row>
    <row r="348">
      <c r="A348" s="2">
        <f>IF(Data!A348="","",IF(ISNUMBER(Data!C348),Data!C348,IFERROR(DATEVALUE(Data!C348),IFERROR(DATEVALUE(SUBSTITUTE(Data!C348,"-"," ")),""))))</f>
        <v/>
      </c>
      <c r="B348" s="2">
        <f>IF(Data!A348="","",IF(ISNUMBER(Data!D348),Data!D348,IFERROR(DATEVALUE(Data!D348),IFERROR(DATEVALUE(SUBSTITUTE(Data!D348,"-"," ")),""))))</f>
        <v/>
      </c>
      <c r="C348">
        <f>IF(Data!A348="","",IF(AND(A348="",B348=""),"Undated",IF(AND(A348&lt;&gt;"",TODAY()&lt;A348),"Upcoming",IF(AND(B348&lt;&gt;"",TODAY()&gt;B348),"Completed","Active"))))</f>
        <v/>
      </c>
    </row>
    <row r="349">
      <c r="A349" s="2">
        <f>IF(Data!A349="","",IF(ISNUMBER(Data!C349),Data!C349,IFERROR(DATEVALUE(Data!C349),IFERROR(DATEVALUE(SUBSTITUTE(Data!C349,"-"," ")),""))))</f>
        <v/>
      </c>
      <c r="B349" s="2">
        <f>IF(Data!A349="","",IF(ISNUMBER(Data!D349),Data!D349,IFERROR(DATEVALUE(Data!D349),IFERROR(DATEVALUE(SUBSTITUTE(Data!D349,"-"," ")),""))))</f>
        <v/>
      </c>
      <c r="C349">
        <f>IF(Data!A349="","",IF(AND(A349="",B349=""),"Undated",IF(AND(A349&lt;&gt;"",TODAY()&lt;A349),"Upcoming",IF(AND(B349&lt;&gt;"",TODAY()&gt;B349),"Completed","Active"))))</f>
        <v/>
      </c>
    </row>
    <row r="350">
      <c r="A350" s="2">
        <f>IF(Data!A350="","",IF(ISNUMBER(Data!C350),Data!C350,IFERROR(DATEVALUE(Data!C350),IFERROR(DATEVALUE(SUBSTITUTE(Data!C350,"-"," ")),""))))</f>
        <v/>
      </c>
      <c r="B350" s="2">
        <f>IF(Data!A350="","",IF(ISNUMBER(Data!D350),Data!D350,IFERROR(DATEVALUE(Data!D350),IFERROR(DATEVALUE(SUBSTITUTE(Data!D350,"-"," ")),""))))</f>
        <v/>
      </c>
      <c r="C350">
        <f>IF(Data!A350="","",IF(AND(A350="",B350=""),"Undated",IF(AND(A350&lt;&gt;"",TODAY()&lt;A350),"Upcoming",IF(AND(B350&lt;&gt;"",TODAY()&gt;B350),"Completed","Active"))))</f>
        <v/>
      </c>
    </row>
    <row r="351">
      <c r="A351" s="2">
        <f>IF(Data!A351="","",IF(ISNUMBER(Data!C351),Data!C351,IFERROR(DATEVALUE(Data!C351),IFERROR(DATEVALUE(SUBSTITUTE(Data!C351,"-"," ")),""))))</f>
        <v/>
      </c>
      <c r="B351" s="2">
        <f>IF(Data!A351="","",IF(ISNUMBER(Data!D351),Data!D351,IFERROR(DATEVALUE(Data!D351),IFERROR(DATEVALUE(SUBSTITUTE(Data!D351,"-"," ")),""))))</f>
        <v/>
      </c>
      <c r="C351">
        <f>IF(Data!A351="","",IF(AND(A351="",B351=""),"Undated",IF(AND(A351&lt;&gt;"",TODAY()&lt;A351),"Upcoming",IF(AND(B351&lt;&gt;"",TODAY()&gt;B351),"Completed","Active"))))</f>
        <v/>
      </c>
    </row>
    <row r="352">
      <c r="A352" s="2">
        <f>IF(Data!A352="","",IF(ISNUMBER(Data!C352),Data!C352,IFERROR(DATEVALUE(Data!C352),IFERROR(DATEVALUE(SUBSTITUTE(Data!C352,"-"," ")),""))))</f>
        <v/>
      </c>
      <c r="B352" s="2">
        <f>IF(Data!A352="","",IF(ISNUMBER(Data!D352),Data!D352,IFERROR(DATEVALUE(Data!D352),IFERROR(DATEVALUE(SUBSTITUTE(Data!D352,"-"," ")),""))))</f>
        <v/>
      </c>
      <c r="C352">
        <f>IF(Data!A352="","",IF(AND(A352="",B352=""),"Undated",IF(AND(A352&lt;&gt;"",TODAY()&lt;A352),"Upcoming",IF(AND(B352&lt;&gt;"",TODAY()&gt;B352),"Completed","Active"))))</f>
        <v/>
      </c>
    </row>
    <row r="353">
      <c r="A353" s="2">
        <f>IF(Data!A353="","",IF(ISNUMBER(Data!C353),Data!C353,IFERROR(DATEVALUE(Data!C353),IFERROR(DATEVALUE(SUBSTITUTE(Data!C353,"-"," ")),""))))</f>
        <v/>
      </c>
      <c r="B353" s="2">
        <f>IF(Data!A353="","",IF(ISNUMBER(Data!D353),Data!D353,IFERROR(DATEVALUE(Data!D353),IFERROR(DATEVALUE(SUBSTITUTE(Data!D353,"-"," ")),""))))</f>
        <v/>
      </c>
      <c r="C353">
        <f>IF(Data!A353="","",IF(AND(A353="",B353=""),"Undated",IF(AND(A353&lt;&gt;"",TODAY()&lt;A353),"Upcoming",IF(AND(B353&lt;&gt;"",TODAY()&gt;B353),"Completed","Active"))))</f>
        <v/>
      </c>
    </row>
    <row r="354">
      <c r="A354" s="2">
        <f>IF(Data!A354="","",IF(ISNUMBER(Data!C354),Data!C354,IFERROR(DATEVALUE(Data!C354),IFERROR(DATEVALUE(SUBSTITUTE(Data!C354,"-"," ")),""))))</f>
        <v/>
      </c>
      <c r="B354" s="2">
        <f>IF(Data!A354="","",IF(ISNUMBER(Data!D354),Data!D354,IFERROR(DATEVALUE(Data!D354),IFERROR(DATEVALUE(SUBSTITUTE(Data!D354,"-"," ")),""))))</f>
        <v/>
      </c>
      <c r="C354">
        <f>IF(Data!A354="","",IF(AND(A354="",B354=""),"Undated",IF(AND(A354&lt;&gt;"",TODAY()&lt;A354),"Upcoming",IF(AND(B354&lt;&gt;"",TODAY()&gt;B354),"Completed","Active"))))</f>
        <v/>
      </c>
    </row>
    <row r="355">
      <c r="A355" s="2">
        <f>IF(Data!A355="","",IF(ISNUMBER(Data!C355),Data!C355,IFERROR(DATEVALUE(Data!C355),IFERROR(DATEVALUE(SUBSTITUTE(Data!C355,"-"," ")),""))))</f>
        <v/>
      </c>
      <c r="B355" s="2">
        <f>IF(Data!A355="","",IF(ISNUMBER(Data!D355),Data!D355,IFERROR(DATEVALUE(Data!D355),IFERROR(DATEVALUE(SUBSTITUTE(Data!D355,"-"," ")),""))))</f>
        <v/>
      </c>
      <c r="C355">
        <f>IF(Data!A355="","",IF(AND(A355="",B355=""),"Undated",IF(AND(A355&lt;&gt;"",TODAY()&lt;A355),"Upcoming",IF(AND(B355&lt;&gt;"",TODAY()&gt;B355),"Completed","Active"))))</f>
        <v/>
      </c>
    </row>
    <row r="356">
      <c r="A356" s="2">
        <f>IF(Data!A356="","",IF(ISNUMBER(Data!C356),Data!C356,IFERROR(DATEVALUE(Data!C356),IFERROR(DATEVALUE(SUBSTITUTE(Data!C356,"-"," ")),""))))</f>
        <v/>
      </c>
      <c r="B356" s="2">
        <f>IF(Data!A356="","",IF(ISNUMBER(Data!D356),Data!D356,IFERROR(DATEVALUE(Data!D356),IFERROR(DATEVALUE(SUBSTITUTE(Data!D356,"-"," ")),""))))</f>
        <v/>
      </c>
      <c r="C356">
        <f>IF(Data!A356="","",IF(AND(A356="",B356=""),"Undated",IF(AND(A356&lt;&gt;"",TODAY()&lt;A356),"Upcoming",IF(AND(B356&lt;&gt;"",TODAY()&gt;B356),"Completed","Active"))))</f>
        <v/>
      </c>
    </row>
    <row r="357">
      <c r="A357" s="2">
        <f>IF(Data!A357="","",IF(ISNUMBER(Data!C357),Data!C357,IFERROR(DATEVALUE(Data!C357),IFERROR(DATEVALUE(SUBSTITUTE(Data!C357,"-"," ")),""))))</f>
        <v/>
      </c>
      <c r="B357" s="2">
        <f>IF(Data!A357="","",IF(ISNUMBER(Data!D357),Data!D357,IFERROR(DATEVALUE(Data!D357),IFERROR(DATEVALUE(SUBSTITUTE(Data!D357,"-"," ")),""))))</f>
        <v/>
      </c>
      <c r="C357">
        <f>IF(Data!A357="","",IF(AND(A357="",B357=""),"Undated",IF(AND(A357&lt;&gt;"",TODAY()&lt;A357),"Upcoming",IF(AND(B357&lt;&gt;"",TODAY()&gt;B357),"Completed","Active"))))</f>
        <v/>
      </c>
    </row>
    <row r="358">
      <c r="A358" s="2">
        <f>IF(Data!A358="","",IF(ISNUMBER(Data!C358),Data!C358,IFERROR(DATEVALUE(Data!C358),IFERROR(DATEVALUE(SUBSTITUTE(Data!C358,"-"," ")),""))))</f>
        <v/>
      </c>
      <c r="B358" s="2">
        <f>IF(Data!A358="","",IF(ISNUMBER(Data!D358),Data!D358,IFERROR(DATEVALUE(Data!D358),IFERROR(DATEVALUE(SUBSTITUTE(Data!D358,"-"," ")),""))))</f>
        <v/>
      </c>
      <c r="C358">
        <f>IF(Data!A358="","",IF(AND(A358="",B358=""),"Undated",IF(AND(A358&lt;&gt;"",TODAY()&lt;A358),"Upcoming",IF(AND(B358&lt;&gt;"",TODAY()&gt;B358),"Completed","Active"))))</f>
        <v/>
      </c>
    </row>
    <row r="359">
      <c r="A359" s="2">
        <f>IF(Data!A359="","",IF(ISNUMBER(Data!C359),Data!C359,IFERROR(DATEVALUE(Data!C359),IFERROR(DATEVALUE(SUBSTITUTE(Data!C359,"-"," ")),""))))</f>
        <v/>
      </c>
      <c r="B359" s="2">
        <f>IF(Data!A359="","",IF(ISNUMBER(Data!D359),Data!D359,IFERROR(DATEVALUE(Data!D359),IFERROR(DATEVALUE(SUBSTITUTE(Data!D359,"-"," ")),""))))</f>
        <v/>
      </c>
      <c r="C359">
        <f>IF(Data!A359="","",IF(AND(A359="",B359=""),"Undated",IF(AND(A359&lt;&gt;"",TODAY()&lt;A359),"Upcoming",IF(AND(B359&lt;&gt;"",TODAY()&gt;B359),"Completed","Active"))))</f>
        <v/>
      </c>
    </row>
    <row r="360">
      <c r="A360" s="2">
        <f>IF(Data!A360="","",IF(ISNUMBER(Data!C360),Data!C360,IFERROR(DATEVALUE(Data!C360),IFERROR(DATEVALUE(SUBSTITUTE(Data!C360,"-"," ")),""))))</f>
        <v/>
      </c>
      <c r="B360" s="2">
        <f>IF(Data!A360="","",IF(ISNUMBER(Data!D360),Data!D360,IFERROR(DATEVALUE(Data!D360),IFERROR(DATEVALUE(SUBSTITUTE(Data!D360,"-"," ")),""))))</f>
        <v/>
      </c>
      <c r="C360">
        <f>IF(Data!A360="","",IF(AND(A360="",B360=""),"Undated",IF(AND(A360&lt;&gt;"",TODAY()&lt;A360),"Upcoming",IF(AND(B360&lt;&gt;"",TODAY()&gt;B360),"Completed","Active"))))</f>
        <v/>
      </c>
    </row>
    <row r="361">
      <c r="A361" s="2">
        <f>IF(Data!A361="","",IF(ISNUMBER(Data!C361),Data!C361,IFERROR(DATEVALUE(Data!C361),IFERROR(DATEVALUE(SUBSTITUTE(Data!C361,"-"," ")),""))))</f>
        <v/>
      </c>
      <c r="B361" s="2">
        <f>IF(Data!A361="","",IF(ISNUMBER(Data!D361),Data!D361,IFERROR(DATEVALUE(Data!D361),IFERROR(DATEVALUE(SUBSTITUTE(Data!D361,"-"," ")),""))))</f>
        <v/>
      </c>
      <c r="C361">
        <f>IF(Data!A361="","",IF(AND(A361="",B361=""),"Undated",IF(AND(A361&lt;&gt;"",TODAY()&lt;A361),"Upcoming",IF(AND(B361&lt;&gt;"",TODAY()&gt;B361),"Completed","Active"))))</f>
        <v/>
      </c>
    </row>
    <row r="362">
      <c r="A362" s="2">
        <f>IF(Data!A362="","",IF(ISNUMBER(Data!C362),Data!C362,IFERROR(DATEVALUE(Data!C362),IFERROR(DATEVALUE(SUBSTITUTE(Data!C362,"-"," ")),""))))</f>
        <v/>
      </c>
      <c r="B362" s="2">
        <f>IF(Data!A362="","",IF(ISNUMBER(Data!D362),Data!D362,IFERROR(DATEVALUE(Data!D362),IFERROR(DATEVALUE(SUBSTITUTE(Data!D362,"-"," ")),""))))</f>
        <v/>
      </c>
      <c r="C362">
        <f>IF(Data!A362="","",IF(AND(A362="",B362=""),"Undated",IF(AND(A362&lt;&gt;"",TODAY()&lt;A362),"Upcoming",IF(AND(B362&lt;&gt;"",TODAY()&gt;B362),"Completed","Active"))))</f>
        <v/>
      </c>
    </row>
    <row r="363">
      <c r="A363" s="2">
        <f>IF(Data!A363="","",IF(ISNUMBER(Data!C363),Data!C363,IFERROR(DATEVALUE(Data!C363),IFERROR(DATEVALUE(SUBSTITUTE(Data!C363,"-"," ")),""))))</f>
        <v/>
      </c>
      <c r="B363" s="2">
        <f>IF(Data!A363="","",IF(ISNUMBER(Data!D363),Data!D363,IFERROR(DATEVALUE(Data!D363),IFERROR(DATEVALUE(SUBSTITUTE(Data!D363,"-"," ")),""))))</f>
        <v/>
      </c>
      <c r="C363">
        <f>IF(Data!A363="","",IF(AND(A363="",B363=""),"Undated",IF(AND(A363&lt;&gt;"",TODAY()&lt;A363),"Upcoming",IF(AND(B363&lt;&gt;"",TODAY()&gt;B363),"Completed","Active"))))</f>
        <v/>
      </c>
    </row>
    <row r="364">
      <c r="A364" s="2">
        <f>IF(Data!A364="","",IF(ISNUMBER(Data!C364),Data!C364,IFERROR(DATEVALUE(Data!C364),IFERROR(DATEVALUE(SUBSTITUTE(Data!C364,"-"," ")),""))))</f>
        <v/>
      </c>
      <c r="B364" s="2">
        <f>IF(Data!A364="","",IF(ISNUMBER(Data!D364),Data!D364,IFERROR(DATEVALUE(Data!D364),IFERROR(DATEVALUE(SUBSTITUTE(Data!D364,"-"," ")),""))))</f>
        <v/>
      </c>
      <c r="C364">
        <f>IF(Data!A364="","",IF(AND(A364="",B364=""),"Undated",IF(AND(A364&lt;&gt;"",TODAY()&lt;A364),"Upcoming",IF(AND(B364&lt;&gt;"",TODAY()&gt;B364),"Completed","Active"))))</f>
        <v/>
      </c>
    </row>
    <row r="365">
      <c r="A365" s="2">
        <f>IF(Data!A365="","",IF(ISNUMBER(Data!C365),Data!C365,IFERROR(DATEVALUE(Data!C365),IFERROR(DATEVALUE(SUBSTITUTE(Data!C365,"-"," ")),""))))</f>
        <v/>
      </c>
      <c r="B365" s="2">
        <f>IF(Data!A365="","",IF(ISNUMBER(Data!D365),Data!D365,IFERROR(DATEVALUE(Data!D365),IFERROR(DATEVALUE(SUBSTITUTE(Data!D365,"-"," ")),""))))</f>
        <v/>
      </c>
      <c r="C365">
        <f>IF(Data!A365="","",IF(AND(A365="",B365=""),"Undated",IF(AND(A365&lt;&gt;"",TODAY()&lt;A365),"Upcoming",IF(AND(B365&lt;&gt;"",TODAY()&gt;B365),"Completed","Active"))))</f>
        <v/>
      </c>
    </row>
    <row r="366">
      <c r="A366" s="2">
        <f>IF(Data!A366="","",IF(ISNUMBER(Data!C366),Data!C366,IFERROR(DATEVALUE(Data!C366),IFERROR(DATEVALUE(SUBSTITUTE(Data!C366,"-"," ")),""))))</f>
        <v/>
      </c>
      <c r="B366" s="2">
        <f>IF(Data!A366="","",IF(ISNUMBER(Data!D366),Data!D366,IFERROR(DATEVALUE(Data!D366),IFERROR(DATEVALUE(SUBSTITUTE(Data!D366,"-"," ")),""))))</f>
        <v/>
      </c>
      <c r="C366">
        <f>IF(Data!A366="","",IF(AND(A366="",B366=""),"Undated",IF(AND(A366&lt;&gt;"",TODAY()&lt;A366),"Upcoming",IF(AND(B366&lt;&gt;"",TODAY()&gt;B366),"Completed","Active"))))</f>
        <v/>
      </c>
    </row>
    <row r="367">
      <c r="A367" s="2">
        <f>IF(Data!A367="","",IF(ISNUMBER(Data!C367),Data!C367,IFERROR(DATEVALUE(Data!C367),IFERROR(DATEVALUE(SUBSTITUTE(Data!C367,"-"," ")),""))))</f>
        <v/>
      </c>
      <c r="B367" s="2">
        <f>IF(Data!A367="","",IF(ISNUMBER(Data!D367),Data!D367,IFERROR(DATEVALUE(Data!D367),IFERROR(DATEVALUE(SUBSTITUTE(Data!D367,"-"," ")),""))))</f>
        <v/>
      </c>
      <c r="C367">
        <f>IF(Data!A367="","",IF(AND(A367="",B367=""),"Undated",IF(AND(A367&lt;&gt;"",TODAY()&lt;A367),"Upcoming",IF(AND(B367&lt;&gt;"",TODAY()&gt;B367),"Completed","Active"))))</f>
        <v/>
      </c>
    </row>
    <row r="368">
      <c r="A368" s="2">
        <f>IF(Data!A368="","",IF(ISNUMBER(Data!C368),Data!C368,IFERROR(DATEVALUE(Data!C368),IFERROR(DATEVALUE(SUBSTITUTE(Data!C368,"-"," ")),""))))</f>
        <v/>
      </c>
      <c r="B368" s="2">
        <f>IF(Data!A368="","",IF(ISNUMBER(Data!D368),Data!D368,IFERROR(DATEVALUE(Data!D368),IFERROR(DATEVALUE(SUBSTITUTE(Data!D368,"-"," ")),""))))</f>
        <v/>
      </c>
      <c r="C368">
        <f>IF(Data!A368="","",IF(AND(A368="",B368=""),"Undated",IF(AND(A368&lt;&gt;"",TODAY()&lt;A368),"Upcoming",IF(AND(B368&lt;&gt;"",TODAY()&gt;B368),"Completed","Active"))))</f>
        <v/>
      </c>
    </row>
    <row r="369">
      <c r="A369" s="2">
        <f>IF(Data!A369="","",IF(ISNUMBER(Data!C369),Data!C369,IFERROR(DATEVALUE(Data!C369),IFERROR(DATEVALUE(SUBSTITUTE(Data!C369,"-"," ")),""))))</f>
        <v/>
      </c>
      <c r="B369" s="2">
        <f>IF(Data!A369="","",IF(ISNUMBER(Data!D369),Data!D369,IFERROR(DATEVALUE(Data!D369),IFERROR(DATEVALUE(SUBSTITUTE(Data!D369,"-"," ")),""))))</f>
        <v/>
      </c>
      <c r="C369">
        <f>IF(Data!A369="","",IF(AND(A369="",B369=""),"Undated",IF(AND(A369&lt;&gt;"",TODAY()&lt;A369),"Upcoming",IF(AND(B369&lt;&gt;"",TODAY()&gt;B369),"Completed","Active"))))</f>
        <v/>
      </c>
    </row>
    <row r="370">
      <c r="A370" s="2">
        <f>IF(Data!A370="","",IF(ISNUMBER(Data!C370),Data!C370,IFERROR(DATEVALUE(Data!C370),IFERROR(DATEVALUE(SUBSTITUTE(Data!C370,"-"," ")),""))))</f>
        <v/>
      </c>
      <c r="B370" s="2">
        <f>IF(Data!A370="","",IF(ISNUMBER(Data!D370),Data!D370,IFERROR(DATEVALUE(Data!D370),IFERROR(DATEVALUE(SUBSTITUTE(Data!D370,"-"," ")),""))))</f>
        <v/>
      </c>
      <c r="C370">
        <f>IF(Data!A370="","",IF(AND(A370="",B370=""),"Undated",IF(AND(A370&lt;&gt;"",TODAY()&lt;A370),"Upcoming",IF(AND(B370&lt;&gt;"",TODAY()&gt;B370),"Completed","Active"))))</f>
        <v/>
      </c>
    </row>
    <row r="371">
      <c r="A371" s="2">
        <f>IF(Data!A371="","",IF(ISNUMBER(Data!C371),Data!C371,IFERROR(DATEVALUE(Data!C371),IFERROR(DATEVALUE(SUBSTITUTE(Data!C371,"-"," ")),""))))</f>
        <v/>
      </c>
      <c r="B371" s="2">
        <f>IF(Data!A371="","",IF(ISNUMBER(Data!D371),Data!D371,IFERROR(DATEVALUE(Data!D371),IFERROR(DATEVALUE(SUBSTITUTE(Data!D371,"-"," ")),""))))</f>
        <v/>
      </c>
      <c r="C371">
        <f>IF(Data!A371="","",IF(AND(A371="",B371=""),"Undated",IF(AND(A371&lt;&gt;"",TODAY()&lt;A371),"Upcoming",IF(AND(B371&lt;&gt;"",TODAY()&gt;B371),"Completed","Active"))))</f>
        <v/>
      </c>
    </row>
    <row r="372">
      <c r="A372" s="2">
        <f>IF(Data!A372="","",IF(ISNUMBER(Data!C372),Data!C372,IFERROR(DATEVALUE(Data!C372),IFERROR(DATEVALUE(SUBSTITUTE(Data!C372,"-"," ")),""))))</f>
        <v/>
      </c>
      <c r="B372" s="2">
        <f>IF(Data!A372="","",IF(ISNUMBER(Data!D372),Data!D372,IFERROR(DATEVALUE(Data!D372),IFERROR(DATEVALUE(SUBSTITUTE(Data!D372,"-"," ")),""))))</f>
        <v/>
      </c>
      <c r="C372">
        <f>IF(Data!A372="","",IF(AND(A372="",B372=""),"Undated",IF(AND(A372&lt;&gt;"",TODAY()&lt;A372),"Upcoming",IF(AND(B372&lt;&gt;"",TODAY()&gt;B372),"Completed","Active"))))</f>
        <v/>
      </c>
    </row>
    <row r="373">
      <c r="A373" s="2">
        <f>IF(Data!A373="","",IF(ISNUMBER(Data!C373),Data!C373,IFERROR(DATEVALUE(Data!C373),IFERROR(DATEVALUE(SUBSTITUTE(Data!C373,"-"," ")),""))))</f>
        <v/>
      </c>
      <c r="B373" s="2">
        <f>IF(Data!A373="","",IF(ISNUMBER(Data!D373),Data!D373,IFERROR(DATEVALUE(Data!D373),IFERROR(DATEVALUE(SUBSTITUTE(Data!D373,"-"," ")),""))))</f>
        <v/>
      </c>
      <c r="C373">
        <f>IF(Data!A373="","",IF(AND(A373="",B373=""),"Undated",IF(AND(A373&lt;&gt;"",TODAY()&lt;A373),"Upcoming",IF(AND(B373&lt;&gt;"",TODAY()&gt;B373),"Completed","Active"))))</f>
        <v/>
      </c>
    </row>
    <row r="374">
      <c r="A374" s="2">
        <f>IF(Data!A374="","",IF(ISNUMBER(Data!C374),Data!C374,IFERROR(DATEVALUE(Data!C374),IFERROR(DATEVALUE(SUBSTITUTE(Data!C374,"-"," ")),""))))</f>
        <v/>
      </c>
      <c r="B374" s="2">
        <f>IF(Data!A374="","",IF(ISNUMBER(Data!D374),Data!D374,IFERROR(DATEVALUE(Data!D374),IFERROR(DATEVALUE(SUBSTITUTE(Data!D374,"-"," ")),""))))</f>
        <v/>
      </c>
      <c r="C374">
        <f>IF(Data!A374="","",IF(AND(A374="",B374=""),"Undated",IF(AND(A374&lt;&gt;"",TODAY()&lt;A374),"Upcoming",IF(AND(B374&lt;&gt;"",TODAY()&gt;B374),"Completed","Active"))))</f>
        <v/>
      </c>
    </row>
    <row r="375">
      <c r="A375" s="2">
        <f>IF(Data!A375="","",IF(ISNUMBER(Data!C375),Data!C375,IFERROR(DATEVALUE(Data!C375),IFERROR(DATEVALUE(SUBSTITUTE(Data!C375,"-"," ")),""))))</f>
        <v/>
      </c>
      <c r="B375" s="2">
        <f>IF(Data!A375="","",IF(ISNUMBER(Data!D375),Data!D375,IFERROR(DATEVALUE(Data!D375),IFERROR(DATEVALUE(SUBSTITUTE(Data!D375,"-"," ")),""))))</f>
        <v/>
      </c>
      <c r="C375">
        <f>IF(Data!A375="","",IF(AND(A375="",B375=""),"Undated",IF(AND(A375&lt;&gt;"",TODAY()&lt;A375),"Upcoming",IF(AND(B375&lt;&gt;"",TODAY()&gt;B375),"Completed","Active"))))</f>
        <v/>
      </c>
    </row>
    <row r="376">
      <c r="A376" s="2">
        <f>IF(Data!A376="","",IF(ISNUMBER(Data!C376),Data!C376,IFERROR(DATEVALUE(Data!C376),IFERROR(DATEVALUE(SUBSTITUTE(Data!C376,"-"," ")),""))))</f>
        <v/>
      </c>
      <c r="B376" s="2">
        <f>IF(Data!A376="","",IF(ISNUMBER(Data!D376),Data!D376,IFERROR(DATEVALUE(Data!D376),IFERROR(DATEVALUE(SUBSTITUTE(Data!D376,"-"," ")),""))))</f>
        <v/>
      </c>
      <c r="C376">
        <f>IF(Data!A376="","",IF(AND(A376="",B376=""),"Undated",IF(AND(A376&lt;&gt;"",TODAY()&lt;A376),"Upcoming",IF(AND(B376&lt;&gt;"",TODAY()&gt;B376),"Completed","Active"))))</f>
        <v/>
      </c>
    </row>
    <row r="377">
      <c r="A377" s="2">
        <f>IF(Data!A377="","",IF(ISNUMBER(Data!C377),Data!C377,IFERROR(DATEVALUE(Data!C377),IFERROR(DATEVALUE(SUBSTITUTE(Data!C377,"-"," ")),""))))</f>
        <v/>
      </c>
      <c r="B377" s="2">
        <f>IF(Data!A377="","",IF(ISNUMBER(Data!D377),Data!D377,IFERROR(DATEVALUE(Data!D377),IFERROR(DATEVALUE(SUBSTITUTE(Data!D377,"-"," ")),""))))</f>
        <v/>
      </c>
      <c r="C377">
        <f>IF(Data!A377="","",IF(AND(A377="",B377=""),"Undated",IF(AND(A377&lt;&gt;"",TODAY()&lt;A377),"Upcoming",IF(AND(B377&lt;&gt;"",TODAY()&gt;B377),"Completed","Active"))))</f>
        <v/>
      </c>
    </row>
    <row r="378">
      <c r="A378" s="2">
        <f>IF(Data!A378="","",IF(ISNUMBER(Data!C378),Data!C378,IFERROR(DATEVALUE(Data!C378),IFERROR(DATEVALUE(SUBSTITUTE(Data!C378,"-"," ")),""))))</f>
        <v/>
      </c>
      <c r="B378" s="2">
        <f>IF(Data!A378="","",IF(ISNUMBER(Data!D378),Data!D378,IFERROR(DATEVALUE(Data!D378),IFERROR(DATEVALUE(SUBSTITUTE(Data!D378,"-"," ")),""))))</f>
        <v/>
      </c>
      <c r="C378">
        <f>IF(Data!A378="","",IF(AND(A378="",B378=""),"Undated",IF(AND(A378&lt;&gt;"",TODAY()&lt;A378),"Upcoming",IF(AND(B378&lt;&gt;"",TODAY()&gt;B378),"Completed","Active"))))</f>
        <v/>
      </c>
    </row>
    <row r="379">
      <c r="A379" s="2">
        <f>IF(Data!A379="","",IF(ISNUMBER(Data!C379),Data!C379,IFERROR(DATEVALUE(Data!C379),IFERROR(DATEVALUE(SUBSTITUTE(Data!C379,"-"," ")),""))))</f>
        <v/>
      </c>
      <c r="B379" s="2">
        <f>IF(Data!A379="","",IF(ISNUMBER(Data!D379),Data!D379,IFERROR(DATEVALUE(Data!D379),IFERROR(DATEVALUE(SUBSTITUTE(Data!D379,"-"," ")),""))))</f>
        <v/>
      </c>
      <c r="C379">
        <f>IF(Data!A379="","",IF(AND(A379="",B379=""),"Undated",IF(AND(A379&lt;&gt;"",TODAY()&lt;A379),"Upcoming",IF(AND(B379&lt;&gt;"",TODAY()&gt;B379),"Completed","Active"))))</f>
        <v/>
      </c>
    </row>
    <row r="380">
      <c r="A380" s="2">
        <f>IF(Data!A380="","",IF(ISNUMBER(Data!C380),Data!C380,IFERROR(DATEVALUE(Data!C380),IFERROR(DATEVALUE(SUBSTITUTE(Data!C380,"-"," ")),""))))</f>
        <v/>
      </c>
      <c r="B380" s="2">
        <f>IF(Data!A380="","",IF(ISNUMBER(Data!D380),Data!D380,IFERROR(DATEVALUE(Data!D380),IFERROR(DATEVALUE(SUBSTITUTE(Data!D380,"-"," ")),""))))</f>
        <v/>
      </c>
      <c r="C380">
        <f>IF(Data!A380="","",IF(AND(A380="",B380=""),"Undated",IF(AND(A380&lt;&gt;"",TODAY()&lt;A380),"Upcoming",IF(AND(B380&lt;&gt;"",TODAY()&gt;B380),"Completed","Active"))))</f>
        <v/>
      </c>
    </row>
    <row r="381">
      <c r="A381" s="2">
        <f>IF(Data!A381="","",IF(ISNUMBER(Data!C381),Data!C381,IFERROR(DATEVALUE(Data!C381),IFERROR(DATEVALUE(SUBSTITUTE(Data!C381,"-"," ")),""))))</f>
        <v/>
      </c>
      <c r="B381" s="2">
        <f>IF(Data!A381="","",IF(ISNUMBER(Data!D381),Data!D381,IFERROR(DATEVALUE(Data!D381),IFERROR(DATEVALUE(SUBSTITUTE(Data!D381,"-"," ")),""))))</f>
        <v/>
      </c>
      <c r="C381">
        <f>IF(Data!A381="","",IF(AND(A381="",B381=""),"Undated",IF(AND(A381&lt;&gt;"",TODAY()&lt;A381),"Upcoming",IF(AND(B381&lt;&gt;"",TODAY()&gt;B381),"Completed","Active"))))</f>
        <v/>
      </c>
    </row>
    <row r="382">
      <c r="A382" s="2">
        <f>IF(Data!A382="","",IF(ISNUMBER(Data!C382),Data!C382,IFERROR(DATEVALUE(Data!C382),IFERROR(DATEVALUE(SUBSTITUTE(Data!C382,"-"," ")),""))))</f>
        <v/>
      </c>
      <c r="B382" s="2">
        <f>IF(Data!A382="","",IF(ISNUMBER(Data!D382),Data!D382,IFERROR(DATEVALUE(Data!D382),IFERROR(DATEVALUE(SUBSTITUTE(Data!D382,"-"," ")),""))))</f>
        <v/>
      </c>
      <c r="C382">
        <f>IF(Data!A382="","",IF(AND(A382="",B382=""),"Undated",IF(AND(A382&lt;&gt;"",TODAY()&lt;A382),"Upcoming",IF(AND(B382&lt;&gt;"",TODAY()&gt;B382),"Completed","Active"))))</f>
        <v/>
      </c>
    </row>
    <row r="383">
      <c r="A383" s="2">
        <f>IF(Data!A383="","",IF(ISNUMBER(Data!C383),Data!C383,IFERROR(DATEVALUE(Data!C383),IFERROR(DATEVALUE(SUBSTITUTE(Data!C383,"-"," ")),""))))</f>
        <v/>
      </c>
      <c r="B383" s="2">
        <f>IF(Data!A383="","",IF(ISNUMBER(Data!D383),Data!D383,IFERROR(DATEVALUE(Data!D383),IFERROR(DATEVALUE(SUBSTITUTE(Data!D383,"-"," ")),""))))</f>
        <v/>
      </c>
      <c r="C383">
        <f>IF(Data!A383="","",IF(AND(A383="",B383=""),"Undated",IF(AND(A383&lt;&gt;"",TODAY()&lt;A383),"Upcoming",IF(AND(B383&lt;&gt;"",TODAY()&gt;B383),"Completed","Active"))))</f>
        <v/>
      </c>
    </row>
    <row r="384">
      <c r="A384" s="2">
        <f>IF(Data!A384="","",IF(ISNUMBER(Data!C384),Data!C384,IFERROR(DATEVALUE(Data!C384),IFERROR(DATEVALUE(SUBSTITUTE(Data!C384,"-"," ")),""))))</f>
        <v/>
      </c>
      <c r="B384" s="2">
        <f>IF(Data!A384="","",IF(ISNUMBER(Data!D384),Data!D384,IFERROR(DATEVALUE(Data!D384),IFERROR(DATEVALUE(SUBSTITUTE(Data!D384,"-"," ")),""))))</f>
        <v/>
      </c>
      <c r="C384">
        <f>IF(Data!A384="","",IF(AND(A384="",B384=""),"Undated",IF(AND(A384&lt;&gt;"",TODAY()&lt;A384),"Upcoming",IF(AND(B384&lt;&gt;"",TODAY()&gt;B384),"Completed","Active"))))</f>
        <v/>
      </c>
    </row>
    <row r="385">
      <c r="A385" s="2">
        <f>IF(Data!A385="","",IF(ISNUMBER(Data!C385),Data!C385,IFERROR(DATEVALUE(Data!C385),IFERROR(DATEVALUE(SUBSTITUTE(Data!C385,"-"," ")),""))))</f>
        <v/>
      </c>
      <c r="B385" s="2">
        <f>IF(Data!A385="","",IF(ISNUMBER(Data!D385),Data!D385,IFERROR(DATEVALUE(Data!D385),IFERROR(DATEVALUE(SUBSTITUTE(Data!D385,"-"," ")),""))))</f>
        <v/>
      </c>
      <c r="C385">
        <f>IF(Data!A385="","",IF(AND(A385="",B385=""),"Undated",IF(AND(A385&lt;&gt;"",TODAY()&lt;A385),"Upcoming",IF(AND(B385&lt;&gt;"",TODAY()&gt;B385),"Completed","Active"))))</f>
        <v/>
      </c>
    </row>
    <row r="386">
      <c r="A386" s="2">
        <f>IF(Data!A386="","",IF(ISNUMBER(Data!C386),Data!C386,IFERROR(DATEVALUE(Data!C386),IFERROR(DATEVALUE(SUBSTITUTE(Data!C386,"-"," ")),""))))</f>
        <v/>
      </c>
      <c r="B386" s="2">
        <f>IF(Data!A386="","",IF(ISNUMBER(Data!D386),Data!D386,IFERROR(DATEVALUE(Data!D386),IFERROR(DATEVALUE(SUBSTITUTE(Data!D386,"-"," ")),""))))</f>
        <v/>
      </c>
      <c r="C386">
        <f>IF(Data!A386="","",IF(AND(A386="",B386=""),"Undated",IF(AND(A386&lt;&gt;"",TODAY()&lt;A386),"Upcoming",IF(AND(B386&lt;&gt;"",TODAY()&gt;B386),"Completed","Active"))))</f>
        <v/>
      </c>
    </row>
    <row r="387">
      <c r="A387" s="2">
        <f>IF(Data!A387="","",IF(ISNUMBER(Data!C387),Data!C387,IFERROR(DATEVALUE(Data!C387),IFERROR(DATEVALUE(SUBSTITUTE(Data!C387,"-"," ")),""))))</f>
        <v/>
      </c>
      <c r="B387" s="2">
        <f>IF(Data!A387="","",IF(ISNUMBER(Data!D387),Data!D387,IFERROR(DATEVALUE(Data!D387),IFERROR(DATEVALUE(SUBSTITUTE(Data!D387,"-"," ")),""))))</f>
        <v/>
      </c>
      <c r="C387">
        <f>IF(Data!A387="","",IF(AND(A387="",B387=""),"Undated",IF(AND(A387&lt;&gt;"",TODAY()&lt;A387),"Upcoming",IF(AND(B387&lt;&gt;"",TODAY()&gt;B387),"Completed","Active"))))</f>
        <v/>
      </c>
    </row>
    <row r="388">
      <c r="A388" s="2">
        <f>IF(Data!A388="","",IF(ISNUMBER(Data!C388),Data!C388,IFERROR(DATEVALUE(Data!C388),IFERROR(DATEVALUE(SUBSTITUTE(Data!C388,"-"," ")),""))))</f>
        <v/>
      </c>
      <c r="B388" s="2">
        <f>IF(Data!A388="","",IF(ISNUMBER(Data!D388),Data!D388,IFERROR(DATEVALUE(Data!D388),IFERROR(DATEVALUE(SUBSTITUTE(Data!D388,"-"," ")),""))))</f>
        <v/>
      </c>
      <c r="C388">
        <f>IF(Data!A388="","",IF(AND(A388="",B388=""),"Undated",IF(AND(A388&lt;&gt;"",TODAY()&lt;A388),"Upcoming",IF(AND(B388&lt;&gt;"",TODAY()&gt;B388),"Completed","Active"))))</f>
        <v/>
      </c>
    </row>
    <row r="389">
      <c r="A389" s="2">
        <f>IF(Data!A389="","",IF(ISNUMBER(Data!C389),Data!C389,IFERROR(DATEVALUE(Data!C389),IFERROR(DATEVALUE(SUBSTITUTE(Data!C389,"-"," ")),""))))</f>
        <v/>
      </c>
      <c r="B389" s="2">
        <f>IF(Data!A389="","",IF(ISNUMBER(Data!D389),Data!D389,IFERROR(DATEVALUE(Data!D389),IFERROR(DATEVALUE(SUBSTITUTE(Data!D389,"-"," ")),""))))</f>
        <v/>
      </c>
      <c r="C389">
        <f>IF(Data!A389="","",IF(AND(A389="",B389=""),"Undated",IF(AND(A389&lt;&gt;"",TODAY()&lt;A389),"Upcoming",IF(AND(B389&lt;&gt;"",TODAY()&gt;B389),"Completed","Active"))))</f>
        <v/>
      </c>
    </row>
    <row r="390">
      <c r="A390" s="2">
        <f>IF(Data!A390="","",IF(ISNUMBER(Data!C390),Data!C390,IFERROR(DATEVALUE(Data!C390),IFERROR(DATEVALUE(SUBSTITUTE(Data!C390,"-"," ")),""))))</f>
        <v/>
      </c>
      <c r="B390" s="2">
        <f>IF(Data!A390="","",IF(ISNUMBER(Data!D390),Data!D390,IFERROR(DATEVALUE(Data!D390),IFERROR(DATEVALUE(SUBSTITUTE(Data!D390,"-"," ")),""))))</f>
        <v/>
      </c>
      <c r="C390">
        <f>IF(Data!A390="","",IF(AND(A390="",B390=""),"Undated",IF(AND(A390&lt;&gt;"",TODAY()&lt;A390),"Upcoming",IF(AND(B390&lt;&gt;"",TODAY()&gt;B390),"Completed","Active"))))</f>
        <v/>
      </c>
    </row>
    <row r="391">
      <c r="A391" s="2">
        <f>IF(Data!A391="","",IF(ISNUMBER(Data!C391),Data!C391,IFERROR(DATEVALUE(Data!C391),IFERROR(DATEVALUE(SUBSTITUTE(Data!C391,"-"," ")),""))))</f>
        <v/>
      </c>
      <c r="B391" s="2">
        <f>IF(Data!A391="","",IF(ISNUMBER(Data!D391),Data!D391,IFERROR(DATEVALUE(Data!D391),IFERROR(DATEVALUE(SUBSTITUTE(Data!D391,"-"," ")),""))))</f>
        <v/>
      </c>
      <c r="C391">
        <f>IF(Data!A391="","",IF(AND(A391="",B391=""),"Undated",IF(AND(A391&lt;&gt;"",TODAY()&lt;A391),"Upcoming",IF(AND(B391&lt;&gt;"",TODAY()&gt;B391),"Completed","Active"))))</f>
        <v/>
      </c>
    </row>
    <row r="392">
      <c r="A392" s="2">
        <f>IF(Data!A392="","",IF(ISNUMBER(Data!C392),Data!C392,IFERROR(DATEVALUE(Data!C392),IFERROR(DATEVALUE(SUBSTITUTE(Data!C392,"-"," ")),""))))</f>
        <v/>
      </c>
      <c r="B392" s="2">
        <f>IF(Data!A392="","",IF(ISNUMBER(Data!D392),Data!D392,IFERROR(DATEVALUE(Data!D392),IFERROR(DATEVALUE(SUBSTITUTE(Data!D392,"-"," ")),""))))</f>
        <v/>
      </c>
      <c r="C392">
        <f>IF(Data!A392="","",IF(AND(A392="",B392=""),"Undated",IF(AND(A392&lt;&gt;"",TODAY()&lt;A392),"Upcoming",IF(AND(B392&lt;&gt;"",TODAY()&gt;B392),"Completed","Active"))))</f>
        <v/>
      </c>
    </row>
    <row r="393">
      <c r="A393" s="2">
        <f>IF(Data!A393="","",IF(ISNUMBER(Data!C393),Data!C393,IFERROR(DATEVALUE(Data!C393),IFERROR(DATEVALUE(SUBSTITUTE(Data!C393,"-"," ")),""))))</f>
        <v/>
      </c>
      <c r="B393" s="2">
        <f>IF(Data!A393="","",IF(ISNUMBER(Data!D393),Data!D393,IFERROR(DATEVALUE(Data!D393),IFERROR(DATEVALUE(SUBSTITUTE(Data!D393,"-"," ")),""))))</f>
        <v/>
      </c>
      <c r="C393">
        <f>IF(Data!A393="","",IF(AND(A393="",B393=""),"Undated",IF(AND(A393&lt;&gt;"",TODAY()&lt;A393),"Upcoming",IF(AND(B393&lt;&gt;"",TODAY()&gt;B393),"Completed","Active"))))</f>
        <v/>
      </c>
    </row>
    <row r="394">
      <c r="A394" s="2">
        <f>IF(Data!A394="","",IF(ISNUMBER(Data!C394),Data!C394,IFERROR(DATEVALUE(Data!C394),IFERROR(DATEVALUE(SUBSTITUTE(Data!C394,"-"," ")),""))))</f>
        <v/>
      </c>
      <c r="B394" s="2">
        <f>IF(Data!A394="","",IF(ISNUMBER(Data!D394),Data!D394,IFERROR(DATEVALUE(Data!D394),IFERROR(DATEVALUE(SUBSTITUTE(Data!D394,"-"," ")),""))))</f>
        <v/>
      </c>
      <c r="C394">
        <f>IF(Data!A394="","",IF(AND(A394="",B394=""),"Undated",IF(AND(A394&lt;&gt;"",TODAY()&lt;A394),"Upcoming",IF(AND(B394&lt;&gt;"",TODAY()&gt;B394),"Completed","Active"))))</f>
        <v/>
      </c>
    </row>
    <row r="395">
      <c r="A395" s="2">
        <f>IF(Data!A395="","",IF(ISNUMBER(Data!C395),Data!C395,IFERROR(DATEVALUE(Data!C395),IFERROR(DATEVALUE(SUBSTITUTE(Data!C395,"-"," ")),""))))</f>
        <v/>
      </c>
      <c r="B395" s="2">
        <f>IF(Data!A395="","",IF(ISNUMBER(Data!D395),Data!D395,IFERROR(DATEVALUE(Data!D395),IFERROR(DATEVALUE(SUBSTITUTE(Data!D395,"-"," ")),""))))</f>
        <v/>
      </c>
      <c r="C395">
        <f>IF(Data!A395="","",IF(AND(A395="",B395=""),"Undated",IF(AND(A395&lt;&gt;"",TODAY()&lt;A395),"Upcoming",IF(AND(B395&lt;&gt;"",TODAY()&gt;B395),"Completed","Active"))))</f>
        <v/>
      </c>
    </row>
    <row r="396">
      <c r="A396" s="2">
        <f>IF(Data!A396="","",IF(ISNUMBER(Data!C396),Data!C396,IFERROR(DATEVALUE(Data!C396),IFERROR(DATEVALUE(SUBSTITUTE(Data!C396,"-"," ")),""))))</f>
        <v/>
      </c>
      <c r="B396" s="2">
        <f>IF(Data!A396="","",IF(ISNUMBER(Data!D396),Data!D396,IFERROR(DATEVALUE(Data!D396),IFERROR(DATEVALUE(SUBSTITUTE(Data!D396,"-"," ")),""))))</f>
        <v/>
      </c>
      <c r="C396">
        <f>IF(Data!A396="","",IF(AND(A396="",B396=""),"Undated",IF(AND(A396&lt;&gt;"",TODAY()&lt;A396),"Upcoming",IF(AND(B396&lt;&gt;"",TODAY()&gt;B396),"Completed","Active"))))</f>
        <v/>
      </c>
    </row>
    <row r="397">
      <c r="A397" s="2">
        <f>IF(Data!A397="","",IF(ISNUMBER(Data!C397),Data!C397,IFERROR(DATEVALUE(Data!C397),IFERROR(DATEVALUE(SUBSTITUTE(Data!C397,"-"," ")),""))))</f>
        <v/>
      </c>
      <c r="B397" s="2">
        <f>IF(Data!A397="","",IF(ISNUMBER(Data!D397),Data!D397,IFERROR(DATEVALUE(Data!D397),IFERROR(DATEVALUE(SUBSTITUTE(Data!D397,"-"," ")),""))))</f>
        <v/>
      </c>
      <c r="C397">
        <f>IF(Data!A397="","",IF(AND(A397="",B397=""),"Undated",IF(AND(A397&lt;&gt;"",TODAY()&lt;A397),"Upcoming",IF(AND(B397&lt;&gt;"",TODAY()&gt;B397),"Completed","Active"))))</f>
        <v/>
      </c>
    </row>
    <row r="398">
      <c r="A398" s="2">
        <f>IF(Data!A398="","",IF(ISNUMBER(Data!C398),Data!C398,IFERROR(DATEVALUE(Data!C398),IFERROR(DATEVALUE(SUBSTITUTE(Data!C398,"-"," ")),""))))</f>
        <v/>
      </c>
      <c r="B398" s="2">
        <f>IF(Data!A398="","",IF(ISNUMBER(Data!D398),Data!D398,IFERROR(DATEVALUE(Data!D398),IFERROR(DATEVALUE(SUBSTITUTE(Data!D398,"-"," ")),""))))</f>
        <v/>
      </c>
      <c r="C398">
        <f>IF(Data!A398="","",IF(AND(A398="",B398=""),"Undated",IF(AND(A398&lt;&gt;"",TODAY()&lt;A398),"Upcoming",IF(AND(B398&lt;&gt;"",TODAY()&gt;B398),"Completed","Active"))))</f>
        <v/>
      </c>
    </row>
    <row r="399">
      <c r="A399" s="2">
        <f>IF(Data!A399="","",IF(ISNUMBER(Data!C399),Data!C399,IFERROR(DATEVALUE(Data!C399),IFERROR(DATEVALUE(SUBSTITUTE(Data!C399,"-"," ")),""))))</f>
        <v/>
      </c>
      <c r="B399" s="2">
        <f>IF(Data!A399="","",IF(ISNUMBER(Data!D399),Data!D399,IFERROR(DATEVALUE(Data!D399),IFERROR(DATEVALUE(SUBSTITUTE(Data!D399,"-"," ")),""))))</f>
        <v/>
      </c>
      <c r="C399">
        <f>IF(Data!A399="","",IF(AND(A399="",B399=""),"Undated",IF(AND(A399&lt;&gt;"",TODAY()&lt;A399),"Upcoming",IF(AND(B399&lt;&gt;"",TODAY()&gt;B399),"Completed","Active"))))</f>
        <v/>
      </c>
    </row>
    <row r="400">
      <c r="A400" s="2">
        <f>IF(Data!A400="","",IF(ISNUMBER(Data!C400),Data!C400,IFERROR(DATEVALUE(Data!C400),IFERROR(DATEVALUE(SUBSTITUTE(Data!C400,"-"," ")),""))))</f>
        <v/>
      </c>
      <c r="B400" s="2">
        <f>IF(Data!A400="","",IF(ISNUMBER(Data!D400),Data!D400,IFERROR(DATEVALUE(Data!D400),IFERROR(DATEVALUE(SUBSTITUTE(Data!D400,"-"," ")),""))))</f>
        <v/>
      </c>
      <c r="C400">
        <f>IF(Data!A400="","",IF(AND(A400="",B400=""),"Undated",IF(AND(A400&lt;&gt;"",TODAY()&lt;A400),"Upcoming",IF(AND(B400&lt;&gt;"",TODAY()&gt;B400),"Completed","Active"))))</f>
        <v/>
      </c>
    </row>
    <row r="401">
      <c r="A401" s="2">
        <f>IF(Data!A401="","",IF(ISNUMBER(Data!C401),Data!C401,IFERROR(DATEVALUE(Data!C401),IFERROR(DATEVALUE(SUBSTITUTE(Data!C401,"-"," ")),""))))</f>
        <v/>
      </c>
      <c r="B401" s="2">
        <f>IF(Data!A401="","",IF(ISNUMBER(Data!D401),Data!D401,IFERROR(DATEVALUE(Data!D401),IFERROR(DATEVALUE(SUBSTITUTE(Data!D401,"-"," ")),""))))</f>
        <v/>
      </c>
      <c r="C401">
        <f>IF(Data!A401="","",IF(AND(A401="",B401=""),"Undated",IF(AND(A401&lt;&gt;"",TODAY()&lt;A401),"Upcoming",IF(AND(B401&lt;&gt;"",TODAY()&gt;B401),"Completed","Active"))))</f>
        <v/>
      </c>
    </row>
    <row r="402">
      <c r="A402" s="2">
        <f>IF(Data!A402="","",IF(ISNUMBER(Data!C402),Data!C402,IFERROR(DATEVALUE(Data!C402),IFERROR(DATEVALUE(SUBSTITUTE(Data!C402,"-"," ")),""))))</f>
        <v/>
      </c>
      <c r="B402" s="2">
        <f>IF(Data!A402="","",IF(ISNUMBER(Data!D402),Data!D402,IFERROR(DATEVALUE(Data!D402),IFERROR(DATEVALUE(SUBSTITUTE(Data!D402,"-"," ")),""))))</f>
        <v/>
      </c>
      <c r="C402">
        <f>IF(Data!A402="","",IF(AND(A402="",B402=""),"Undated",IF(AND(A402&lt;&gt;"",TODAY()&lt;A402),"Upcoming",IF(AND(B402&lt;&gt;"",TODAY()&gt;B402),"Completed","Active"))))</f>
        <v/>
      </c>
    </row>
    <row r="403">
      <c r="A403" s="2">
        <f>IF(Data!A403="","",IF(ISNUMBER(Data!C403),Data!C403,IFERROR(DATEVALUE(Data!C403),IFERROR(DATEVALUE(SUBSTITUTE(Data!C403,"-"," ")),""))))</f>
        <v/>
      </c>
      <c r="B403" s="2">
        <f>IF(Data!A403="","",IF(ISNUMBER(Data!D403),Data!D403,IFERROR(DATEVALUE(Data!D403),IFERROR(DATEVALUE(SUBSTITUTE(Data!D403,"-"," ")),""))))</f>
        <v/>
      </c>
      <c r="C403">
        <f>IF(Data!A403="","",IF(AND(A403="",B403=""),"Undated",IF(AND(A403&lt;&gt;"",TODAY()&lt;A403),"Upcoming",IF(AND(B403&lt;&gt;"",TODAY()&gt;B403),"Completed","Active"))))</f>
        <v/>
      </c>
    </row>
    <row r="404">
      <c r="A404" s="2">
        <f>IF(Data!A404="","",IF(ISNUMBER(Data!C404),Data!C404,IFERROR(DATEVALUE(Data!C404),IFERROR(DATEVALUE(SUBSTITUTE(Data!C404,"-"," ")),""))))</f>
        <v/>
      </c>
      <c r="B404" s="2">
        <f>IF(Data!A404="","",IF(ISNUMBER(Data!D404),Data!D404,IFERROR(DATEVALUE(Data!D404),IFERROR(DATEVALUE(SUBSTITUTE(Data!D404,"-"," ")),""))))</f>
        <v/>
      </c>
      <c r="C404">
        <f>IF(Data!A404="","",IF(AND(A404="",B404=""),"Undated",IF(AND(A404&lt;&gt;"",TODAY()&lt;A404),"Upcoming",IF(AND(B404&lt;&gt;"",TODAY()&gt;B404),"Completed","Active"))))</f>
        <v/>
      </c>
    </row>
    <row r="405">
      <c r="A405" s="2">
        <f>IF(Data!A405="","",IF(ISNUMBER(Data!C405),Data!C405,IFERROR(DATEVALUE(Data!C405),IFERROR(DATEVALUE(SUBSTITUTE(Data!C405,"-"," ")),""))))</f>
        <v/>
      </c>
      <c r="B405" s="2">
        <f>IF(Data!A405="","",IF(ISNUMBER(Data!D405),Data!D405,IFERROR(DATEVALUE(Data!D405),IFERROR(DATEVALUE(SUBSTITUTE(Data!D405,"-"," ")),""))))</f>
        <v/>
      </c>
      <c r="C405">
        <f>IF(Data!A405="","",IF(AND(A405="",B405=""),"Undated",IF(AND(A405&lt;&gt;"",TODAY()&lt;A405),"Upcoming",IF(AND(B405&lt;&gt;"",TODAY()&gt;B405),"Completed","Active"))))</f>
        <v/>
      </c>
    </row>
    <row r="406">
      <c r="A406" s="2">
        <f>IF(Data!A406="","",IF(ISNUMBER(Data!C406),Data!C406,IFERROR(DATEVALUE(Data!C406),IFERROR(DATEVALUE(SUBSTITUTE(Data!C406,"-"," ")),""))))</f>
        <v/>
      </c>
      <c r="B406" s="2">
        <f>IF(Data!A406="","",IF(ISNUMBER(Data!D406),Data!D406,IFERROR(DATEVALUE(Data!D406),IFERROR(DATEVALUE(SUBSTITUTE(Data!D406,"-"," ")),""))))</f>
        <v/>
      </c>
      <c r="C406">
        <f>IF(Data!A406="","",IF(AND(A406="",B406=""),"Undated",IF(AND(A406&lt;&gt;"",TODAY()&lt;A406),"Upcoming",IF(AND(B406&lt;&gt;"",TODAY()&gt;B406),"Completed","Active"))))</f>
        <v/>
      </c>
    </row>
    <row r="407">
      <c r="A407" s="2">
        <f>IF(Data!A407="","",IF(ISNUMBER(Data!C407),Data!C407,IFERROR(DATEVALUE(Data!C407),IFERROR(DATEVALUE(SUBSTITUTE(Data!C407,"-"," ")),""))))</f>
        <v/>
      </c>
      <c r="B407" s="2">
        <f>IF(Data!A407="","",IF(ISNUMBER(Data!D407),Data!D407,IFERROR(DATEVALUE(Data!D407),IFERROR(DATEVALUE(SUBSTITUTE(Data!D407,"-"," ")),""))))</f>
        <v/>
      </c>
      <c r="C407">
        <f>IF(Data!A407="","",IF(AND(A407="",B407=""),"Undated",IF(AND(A407&lt;&gt;"",TODAY()&lt;A407),"Upcoming",IF(AND(B407&lt;&gt;"",TODAY()&gt;B407),"Completed","Active"))))</f>
        <v/>
      </c>
    </row>
    <row r="408">
      <c r="A408" s="2">
        <f>IF(Data!A408="","",IF(ISNUMBER(Data!C408),Data!C408,IFERROR(DATEVALUE(Data!C408),IFERROR(DATEVALUE(SUBSTITUTE(Data!C408,"-"," ")),""))))</f>
        <v/>
      </c>
      <c r="B408" s="2">
        <f>IF(Data!A408="","",IF(ISNUMBER(Data!D408),Data!D408,IFERROR(DATEVALUE(Data!D408),IFERROR(DATEVALUE(SUBSTITUTE(Data!D408,"-"," ")),""))))</f>
        <v/>
      </c>
      <c r="C408">
        <f>IF(Data!A408="","",IF(AND(A408="",B408=""),"Undated",IF(AND(A408&lt;&gt;"",TODAY()&lt;A408),"Upcoming",IF(AND(B408&lt;&gt;"",TODAY()&gt;B408),"Completed","Active"))))</f>
        <v/>
      </c>
    </row>
    <row r="409">
      <c r="A409" s="2">
        <f>IF(Data!A409="","",IF(ISNUMBER(Data!C409),Data!C409,IFERROR(DATEVALUE(Data!C409),IFERROR(DATEVALUE(SUBSTITUTE(Data!C409,"-"," ")),""))))</f>
        <v/>
      </c>
      <c r="B409" s="2">
        <f>IF(Data!A409="","",IF(ISNUMBER(Data!D409),Data!D409,IFERROR(DATEVALUE(Data!D409),IFERROR(DATEVALUE(SUBSTITUTE(Data!D409,"-"," ")),""))))</f>
        <v/>
      </c>
      <c r="C409">
        <f>IF(Data!A409="","",IF(AND(A409="",B409=""),"Undated",IF(AND(A409&lt;&gt;"",TODAY()&lt;A409),"Upcoming",IF(AND(B409&lt;&gt;"",TODAY()&gt;B409),"Completed","Active"))))</f>
        <v/>
      </c>
    </row>
    <row r="410">
      <c r="A410" s="2">
        <f>IF(Data!A410="","",IF(ISNUMBER(Data!C410),Data!C410,IFERROR(DATEVALUE(Data!C410),IFERROR(DATEVALUE(SUBSTITUTE(Data!C410,"-"," ")),""))))</f>
        <v/>
      </c>
      <c r="B410" s="2">
        <f>IF(Data!A410="","",IF(ISNUMBER(Data!D410),Data!D410,IFERROR(DATEVALUE(Data!D410),IFERROR(DATEVALUE(SUBSTITUTE(Data!D410,"-"," ")),""))))</f>
        <v/>
      </c>
      <c r="C410">
        <f>IF(Data!A410="","",IF(AND(A410="",B410=""),"Undated",IF(AND(A410&lt;&gt;"",TODAY()&lt;A410),"Upcoming",IF(AND(B410&lt;&gt;"",TODAY()&gt;B410),"Completed","Active"))))</f>
        <v/>
      </c>
    </row>
    <row r="411">
      <c r="A411" s="2">
        <f>IF(Data!A411="","",IF(ISNUMBER(Data!C411),Data!C411,IFERROR(DATEVALUE(Data!C411),IFERROR(DATEVALUE(SUBSTITUTE(Data!C411,"-"," ")),""))))</f>
        <v/>
      </c>
      <c r="B411" s="2">
        <f>IF(Data!A411="","",IF(ISNUMBER(Data!D411),Data!D411,IFERROR(DATEVALUE(Data!D411),IFERROR(DATEVALUE(SUBSTITUTE(Data!D411,"-"," ")),""))))</f>
        <v/>
      </c>
      <c r="C411">
        <f>IF(Data!A411="","",IF(AND(A411="",B411=""),"Undated",IF(AND(A411&lt;&gt;"",TODAY()&lt;A411),"Upcoming",IF(AND(B411&lt;&gt;"",TODAY()&gt;B411),"Completed","Active"))))</f>
        <v/>
      </c>
    </row>
    <row r="412">
      <c r="A412" s="2">
        <f>IF(Data!A412="","",IF(ISNUMBER(Data!C412),Data!C412,IFERROR(DATEVALUE(Data!C412),IFERROR(DATEVALUE(SUBSTITUTE(Data!C412,"-"," ")),""))))</f>
        <v/>
      </c>
      <c r="B412" s="2">
        <f>IF(Data!A412="","",IF(ISNUMBER(Data!D412),Data!D412,IFERROR(DATEVALUE(Data!D412),IFERROR(DATEVALUE(SUBSTITUTE(Data!D412,"-"," ")),""))))</f>
        <v/>
      </c>
      <c r="C412">
        <f>IF(Data!A412="","",IF(AND(A412="",B412=""),"Undated",IF(AND(A412&lt;&gt;"",TODAY()&lt;A412),"Upcoming",IF(AND(B412&lt;&gt;"",TODAY()&gt;B412),"Completed","Active"))))</f>
        <v/>
      </c>
    </row>
    <row r="413">
      <c r="A413" s="2">
        <f>IF(Data!A413="","",IF(ISNUMBER(Data!C413),Data!C413,IFERROR(DATEVALUE(Data!C413),IFERROR(DATEVALUE(SUBSTITUTE(Data!C413,"-"," ")),""))))</f>
        <v/>
      </c>
      <c r="B413" s="2">
        <f>IF(Data!A413="","",IF(ISNUMBER(Data!D413),Data!D413,IFERROR(DATEVALUE(Data!D413),IFERROR(DATEVALUE(SUBSTITUTE(Data!D413,"-"," ")),""))))</f>
        <v/>
      </c>
      <c r="C413">
        <f>IF(Data!A413="","",IF(AND(A413="",B413=""),"Undated",IF(AND(A413&lt;&gt;"",TODAY()&lt;A413),"Upcoming",IF(AND(B413&lt;&gt;"",TODAY()&gt;B413),"Completed","Active"))))</f>
        <v/>
      </c>
    </row>
    <row r="414">
      <c r="A414" s="2">
        <f>IF(Data!A414="","",IF(ISNUMBER(Data!C414),Data!C414,IFERROR(DATEVALUE(Data!C414),IFERROR(DATEVALUE(SUBSTITUTE(Data!C414,"-"," ")),""))))</f>
        <v/>
      </c>
      <c r="B414" s="2">
        <f>IF(Data!A414="","",IF(ISNUMBER(Data!D414),Data!D414,IFERROR(DATEVALUE(Data!D414),IFERROR(DATEVALUE(SUBSTITUTE(Data!D414,"-"," ")),""))))</f>
        <v/>
      </c>
      <c r="C414">
        <f>IF(Data!A414="","",IF(AND(A414="",B414=""),"Undated",IF(AND(A414&lt;&gt;"",TODAY()&lt;A414),"Upcoming",IF(AND(B414&lt;&gt;"",TODAY()&gt;B414),"Completed","Active"))))</f>
        <v/>
      </c>
    </row>
    <row r="415">
      <c r="A415" s="2">
        <f>IF(Data!A415="","",IF(ISNUMBER(Data!C415),Data!C415,IFERROR(DATEVALUE(Data!C415),IFERROR(DATEVALUE(SUBSTITUTE(Data!C415,"-"," ")),""))))</f>
        <v/>
      </c>
      <c r="B415" s="2">
        <f>IF(Data!A415="","",IF(ISNUMBER(Data!D415),Data!D415,IFERROR(DATEVALUE(Data!D415),IFERROR(DATEVALUE(SUBSTITUTE(Data!D415,"-"," ")),""))))</f>
        <v/>
      </c>
      <c r="C415">
        <f>IF(Data!A415="","",IF(AND(A415="",B415=""),"Undated",IF(AND(A415&lt;&gt;"",TODAY()&lt;A415),"Upcoming",IF(AND(B415&lt;&gt;"",TODAY()&gt;B415),"Completed","Active"))))</f>
        <v/>
      </c>
    </row>
    <row r="416">
      <c r="A416" s="2">
        <f>IF(Data!A416="","",IF(ISNUMBER(Data!C416),Data!C416,IFERROR(DATEVALUE(Data!C416),IFERROR(DATEVALUE(SUBSTITUTE(Data!C416,"-"," ")),""))))</f>
        <v/>
      </c>
      <c r="B416" s="2">
        <f>IF(Data!A416="","",IF(ISNUMBER(Data!D416),Data!D416,IFERROR(DATEVALUE(Data!D416),IFERROR(DATEVALUE(SUBSTITUTE(Data!D416,"-"," ")),""))))</f>
        <v/>
      </c>
      <c r="C416">
        <f>IF(Data!A416="","",IF(AND(A416="",B416=""),"Undated",IF(AND(A416&lt;&gt;"",TODAY()&lt;A416),"Upcoming",IF(AND(B416&lt;&gt;"",TODAY()&gt;B416),"Completed","Active"))))</f>
        <v/>
      </c>
    </row>
    <row r="417">
      <c r="A417" s="2">
        <f>IF(Data!A417="","",IF(ISNUMBER(Data!C417),Data!C417,IFERROR(DATEVALUE(Data!C417),IFERROR(DATEVALUE(SUBSTITUTE(Data!C417,"-"," ")),""))))</f>
        <v/>
      </c>
      <c r="B417" s="2">
        <f>IF(Data!A417="","",IF(ISNUMBER(Data!D417),Data!D417,IFERROR(DATEVALUE(Data!D417),IFERROR(DATEVALUE(SUBSTITUTE(Data!D417,"-"," ")),""))))</f>
        <v/>
      </c>
      <c r="C417">
        <f>IF(Data!A417="","",IF(AND(A417="",B417=""),"Undated",IF(AND(A417&lt;&gt;"",TODAY()&lt;A417),"Upcoming",IF(AND(B417&lt;&gt;"",TODAY()&gt;B417),"Completed","Active"))))</f>
        <v/>
      </c>
    </row>
    <row r="418">
      <c r="A418" s="2">
        <f>IF(Data!A418="","",IF(ISNUMBER(Data!C418),Data!C418,IFERROR(DATEVALUE(Data!C418),IFERROR(DATEVALUE(SUBSTITUTE(Data!C418,"-"," ")),""))))</f>
        <v/>
      </c>
      <c r="B418" s="2">
        <f>IF(Data!A418="","",IF(ISNUMBER(Data!D418),Data!D418,IFERROR(DATEVALUE(Data!D418),IFERROR(DATEVALUE(SUBSTITUTE(Data!D418,"-"," ")),""))))</f>
        <v/>
      </c>
      <c r="C418">
        <f>IF(Data!A418="","",IF(AND(A418="",B418=""),"Undated",IF(AND(A418&lt;&gt;"",TODAY()&lt;A418),"Upcoming",IF(AND(B418&lt;&gt;"",TODAY()&gt;B418),"Completed","Active"))))</f>
        <v/>
      </c>
    </row>
    <row r="419">
      <c r="A419" s="2">
        <f>IF(Data!A419="","",IF(ISNUMBER(Data!C419),Data!C419,IFERROR(DATEVALUE(Data!C419),IFERROR(DATEVALUE(SUBSTITUTE(Data!C419,"-"," ")),""))))</f>
        <v/>
      </c>
      <c r="B419" s="2">
        <f>IF(Data!A419="","",IF(ISNUMBER(Data!D419),Data!D419,IFERROR(DATEVALUE(Data!D419),IFERROR(DATEVALUE(SUBSTITUTE(Data!D419,"-"," ")),""))))</f>
        <v/>
      </c>
      <c r="C419">
        <f>IF(Data!A419="","",IF(AND(A419="",B419=""),"Undated",IF(AND(A419&lt;&gt;"",TODAY()&lt;A419),"Upcoming",IF(AND(B419&lt;&gt;"",TODAY()&gt;B419),"Completed","Active"))))</f>
        <v/>
      </c>
    </row>
    <row r="420">
      <c r="A420" s="2">
        <f>IF(Data!A420="","",IF(ISNUMBER(Data!C420),Data!C420,IFERROR(DATEVALUE(Data!C420),IFERROR(DATEVALUE(SUBSTITUTE(Data!C420,"-"," ")),""))))</f>
        <v/>
      </c>
      <c r="B420" s="2">
        <f>IF(Data!A420="","",IF(ISNUMBER(Data!D420),Data!D420,IFERROR(DATEVALUE(Data!D420),IFERROR(DATEVALUE(SUBSTITUTE(Data!D420,"-"," ")),""))))</f>
        <v/>
      </c>
      <c r="C420">
        <f>IF(Data!A420="","",IF(AND(A420="",B420=""),"Undated",IF(AND(A420&lt;&gt;"",TODAY()&lt;A420),"Upcoming",IF(AND(B420&lt;&gt;"",TODAY()&gt;B420),"Completed","Active"))))</f>
        <v/>
      </c>
    </row>
    <row r="421">
      <c r="A421" s="2">
        <f>IF(Data!A421="","",IF(ISNUMBER(Data!C421),Data!C421,IFERROR(DATEVALUE(Data!C421),IFERROR(DATEVALUE(SUBSTITUTE(Data!C421,"-"," ")),""))))</f>
        <v/>
      </c>
      <c r="B421" s="2">
        <f>IF(Data!A421="","",IF(ISNUMBER(Data!D421),Data!D421,IFERROR(DATEVALUE(Data!D421),IFERROR(DATEVALUE(SUBSTITUTE(Data!D421,"-"," ")),""))))</f>
        <v/>
      </c>
      <c r="C421">
        <f>IF(Data!A421="","",IF(AND(A421="",B421=""),"Undated",IF(AND(A421&lt;&gt;"",TODAY()&lt;A421),"Upcoming",IF(AND(B421&lt;&gt;"",TODAY()&gt;B421),"Completed","Active"))))</f>
        <v/>
      </c>
    </row>
    <row r="422">
      <c r="A422" s="2">
        <f>IF(Data!A422="","",IF(ISNUMBER(Data!C422),Data!C422,IFERROR(DATEVALUE(Data!C422),IFERROR(DATEVALUE(SUBSTITUTE(Data!C422,"-"," ")),""))))</f>
        <v/>
      </c>
      <c r="B422" s="2">
        <f>IF(Data!A422="","",IF(ISNUMBER(Data!D422),Data!D422,IFERROR(DATEVALUE(Data!D422),IFERROR(DATEVALUE(SUBSTITUTE(Data!D422,"-"," ")),""))))</f>
        <v/>
      </c>
      <c r="C422">
        <f>IF(Data!A422="","",IF(AND(A422="",B422=""),"Undated",IF(AND(A422&lt;&gt;"",TODAY()&lt;A422),"Upcoming",IF(AND(B422&lt;&gt;"",TODAY()&gt;B422),"Completed","Active"))))</f>
        <v/>
      </c>
    </row>
    <row r="423">
      <c r="A423" s="2">
        <f>IF(Data!A423="","",IF(ISNUMBER(Data!C423),Data!C423,IFERROR(DATEVALUE(Data!C423),IFERROR(DATEVALUE(SUBSTITUTE(Data!C423,"-"," ")),""))))</f>
        <v/>
      </c>
      <c r="B423" s="2">
        <f>IF(Data!A423="","",IF(ISNUMBER(Data!D423),Data!D423,IFERROR(DATEVALUE(Data!D423),IFERROR(DATEVALUE(SUBSTITUTE(Data!D423,"-"," ")),""))))</f>
        <v/>
      </c>
      <c r="C423">
        <f>IF(Data!A423="","",IF(AND(A423="",B423=""),"Undated",IF(AND(A423&lt;&gt;"",TODAY()&lt;A423),"Upcoming",IF(AND(B423&lt;&gt;"",TODAY()&gt;B423),"Completed","Active"))))</f>
        <v/>
      </c>
    </row>
    <row r="424">
      <c r="A424" s="2">
        <f>IF(Data!A424="","",IF(ISNUMBER(Data!C424),Data!C424,IFERROR(DATEVALUE(Data!C424),IFERROR(DATEVALUE(SUBSTITUTE(Data!C424,"-"," ")),""))))</f>
        <v/>
      </c>
      <c r="B424" s="2">
        <f>IF(Data!A424="","",IF(ISNUMBER(Data!D424),Data!D424,IFERROR(DATEVALUE(Data!D424),IFERROR(DATEVALUE(SUBSTITUTE(Data!D424,"-"," ")),""))))</f>
        <v/>
      </c>
      <c r="C424">
        <f>IF(Data!A424="","",IF(AND(A424="",B424=""),"Undated",IF(AND(A424&lt;&gt;"",TODAY()&lt;A424),"Upcoming",IF(AND(B424&lt;&gt;"",TODAY()&gt;B424),"Completed","Active"))))</f>
        <v/>
      </c>
    </row>
    <row r="425">
      <c r="A425" s="2">
        <f>IF(Data!A425="","",IF(ISNUMBER(Data!C425),Data!C425,IFERROR(DATEVALUE(Data!C425),IFERROR(DATEVALUE(SUBSTITUTE(Data!C425,"-"," ")),""))))</f>
        <v/>
      </c>
      <c r="B425" s="2">
        <f>IF(Data!A425="","",IF(ISNUMBER(Data!D425),Data!D425,IFERROR(DATEVALUE(Data!D425),IFERROR(DATEVALUE(SUBSTITUTE(Data!D425,"-"," ")),""))))</f>
        <v/>
      </c>
      <c r="C425">
        <f>IF(Data!A425="","",IF(AND(A425="",B425=""),"Undated",IF(AND(A425&lt;&gt;"",TODAY()&lt;A425),"Upcoming",IF(AND(B425&lt;&gt;"",TODAY()&gt;B425),"Completed","Active"))))</f>
        <v/>
      </c>
    </row>
    <row r="426">
      <c r="A426" s="2">
        <f>IF(Data!A426="","",IF(ISNUMBER(Data!C426),Data!C426,IFERROR(DATEVALUE(Data!C426),IFERROR(DATEVALUE(SUBSTITUTE(Data!C426,"-"," ")),""))))</f>
        <v/>
      </c>
      <c r="B426" s="2">
        <f>IF(Data!A426="","",IF(ISNUMBER(Data!D426),Data!D426,IFERROR(DATEVALUE(Data!D426),IFERROR(DATEVALUE(SUBSTITUTE(Data!D426,"-"," ")),""))))</f>
        <v/>
      </c>
      <c r="C426">
        <f>IF(Data!A426="","",IF(AND(A426="",B426=""),"Undated",IF(AND(A426&lt;&gt;"",TODAY()&lt;A426),"Upcoming",IF(AND(B426&lt;&gt;"",TODAY()&gt;B426),"Completed","Active"))))</f>
        <v/>
      </c>
    </row>
    <row r="427">
      <c r="A427" s="2">
        <f>IF(Data!A427="","",IF(ISNUMBER(Data!C427),Data!C427,IFERROR(DATEVALUE(Data!C427),IFERROR(DATEVALUE(SUBSTITUTE(Data!C427,"-"," ")),""))))</f>
        <v/>
      </c>
      <c r="B427" s="2">
        <f>IF(Data!A427="","",IF(ISNUMBER(Data!D427),Data!D427,IFERROR(DATEVALUE(Data!D427),IFERROR(DATEVALUE(SUBSTITUTE(Data!D427,"-"," ")),""))))</f>
        <v/>
      </c>
      <c r="C427">
        <f>IF(Data!A427="","",IF(AND(A427="",B427=""),"Undated",IF(AND(A427&lt;&gt;"",TODAY()&lt;A427),"Upcoming",IF(AND(B427&lt;&gt;"",TODAY()&gt;B427),"Completed","Active"))))</f>
        <v/>
      </c>
    </row>
    <row r="428">
      <c r="A428" s="2">
        <f>IF(Data!A428="","",IF(ISNUMBER(Data!C428),Data!C428,IFERROR(DATEVALUE(Data!C428),IFERROR(DATEVALUE(SUBSTITUTE(Data!C428,"-"," ")),""))))</f>
        <v/>
      </c>
      <c r="B428" s="2">
        <f>IF(Data!A428="","",IF(ISNUMBER(Data!D428),Data!D428,IFERROR(DATEVALUE(Data!D428),IFERROR(DATEVALUE(SUBSTITUTE(Data!D428,"-"," ")),""))))</f>
        <v/>
      </c>
      <c r="C428">
        <f>IF(Data!A428="","",IF(AND(A428="",B428=""),"Undated",IF(AND(A428&lt;&gt;"",TODAY()&lt;A428),"Upcoming",IF(AND(B428&lt;&gt;"",TODAY()&gt;B428),"Completed","Active"))))</f>
        <v/>
      </c>
    </row>
    <row r="429">
      <c r="A429" s="2">
        <f>IF(Data!A429="","",IF(ISNUMBER(Data!C429),Data!C429,IFERROR(DATEVALUE(Data!C429),IFERROR(DATEVALUE(SUBSTITUTE(Data!C429,"-"," ")),""))))</f>
        <v/>
      </c>
      <c r="B429" s="2">
        <f>IF(Data!A429="","",IF(ISNUMBER(Data!D429),Data!D429,IFERROR(DATEVALUE(Data!D429),IFERROR(DATEVALUE(SUBSTITUTE(Data!D429,"-"," ")),""))))</f>
        <v/>
      </c>
      <c r="C429">
        <f>IF(Data!A429="","",IF(AND(A429="",B429=""),"Undated",IF(AND(A429&lt;&gt;"",TODAY()&lt;A429),"Upcoming",IF(AND(B429&lt;&gt;"",TODAY()&gt;B429),"Completed","Active"))))</f>
        <v/>
      </c>
    </row>
    <row r="430">
      <c r="A430" s="2">
        <f>IF(Data!A430="","",IF(ISNUMBER(Data!C430),Data!C430,IFERROR(DATEVALUE(Data!C430),IFERROR(DATEVALUE(SUBSTITUTE(Data!C430,"-"," ")),""))))</f>
        <v/>
      </c>
      <c r="B430" s="2">
        <f>IF(Data!A430="","",IF(ISNUMBER(Data!D430),Data!D430,IFERROR(DATEVALUE(Data!D430),IFERROR(DATEVALUE(SUBSTITUTE(Data!D430,"-"," ")),""))))</f>
        <v/>
      </c>
      <c r="C430">
        <f>IF(Data!A430="","",IF(AND(A430="",B430=""),"Undated",IF(AND(A430&lt;&gt;"",TODAY()&lt;A430),"Upcoming",IF(AND(B430&lt;&gt;"",TODAY()&gt;B430),"Completed","Active"))))</f>
        <v/>
      </c>
    </row>
    <row r="431">
      <c r="A431" s="2">
        <f>IF(Data!A431="","",IF(ISNUMBER(Data!C431),Data!C431,IFERROR(DATEVALUE(Data!C431),IFERROR(DATEVALUE(SUBSTITUTE(Data!C431,"-"," ")),""))))</f>
        <v/>
      </c>
      <c r="B431" s="2">
        <f>IF(Data!A431="","",IF(ISNUMBER(Data!D431),Data!D431,IFERROR(DATEVALUE(Data!D431),IFERROR(DATEVALUE(SUBSTITUTE(Data!D431,"-"," ")),""))))</f>
        <v/>
      </c>
      <c r="C431">
        <f>IF(Data!A431="","",IF(AND(A431="",B431=""),"Undated",IF(AND(A431&lt;&gt;"",TODAY()&lt;A431),"Upcoming",IF(AND(B431&lt;&gt;"",TODAY()&gt;B431),"Completed","Active"))))</f>
        <v/>
      </c>
    </row>
    <row r="432">
      <c r="A432" s="2">
        <f>IF(Data!A432="","",IF(ISNUMBER(Data!C432),Data!C432,IFERROR(DATEVALUE(Data!C432),IFERROR(DATEVALUE(SUBSTITUTE(Data!C432,"-"," ")),""))))</f>
        <v/>
      </c>
      <c r="B432" s="2">
        <f>IF(Data!A432="","",IF(ISNUMBER(Data!D432),Data!D432,IFERROR(DATEVALUE(Data!D432),IFERROR(DATEVALUE(SUBSTITUTE(Data!D432,"-"," ")),""))))</f>
        <v/>
      </c>
      <c r="C432">
        <f>IF(Data!A432="","",IF(AND(A432="",B432=""),"Undated",IF(AND(A432&lt;&gt;"",TODAY()&lt;A432),"Upcoming",IF(AND(B432&lt;&gt;"",TODAY()&gt;B432),"Completed","Active"))))</f>
        <v/>
      </c>
    </row>
    <row r="433">
      <c r="A433" s="2">
        <f>IF(Data!A433="","",IF(ISNUMBER(Data!C433),Data!C433,IFERROR(DATEVALUE(Data!C433),IFERROR(DATEVALUE(SUBSTITUTE(Data!C433,"-"," ")),""))))</f>
        <v/>
      </c>
      <c r="B433" s="2">
        <f>IF(Data!A433="","",IF(ISNUMBER(Data!D433),Data!D433,IFERROR(DATEVALUE(Data!D433),IFERROR(DATEVALUE(SUBSTITUTE(Data!D433,"-"," ")),""))))</f>
        <v/>
      </c>
      <c r="C433">
        <f>IF(Data!A433="","",IF(AND(A433="",B433=""),"Undated",IF(AND(A433&lt;&gt;"",TODAY()&lt;A433),"Upcoming",IF(AND(B433&lt;&gt;"",TODAY()&gt;B433),"Completed","Active"))))</f>
        <v/>
      </c>
    </row>
    <row r="434">
      <c r="A434" s="2">
        <f>IF(Data!A434="","",IF(ISNUMBER(Data!C434),Data!C434,IFERROR(DATEVALUE(Data!C434),IFERROR(DATEVALUE(SUBSTITUTE(Data!C434,"-"," ")),""))))</f>
        <v/>
      </c>
      <c r="B434" s="2">
        <f>IF(Data!A434="","",IF(ISNUMBER(Data!D434),Data!D434,IFERROR(DATEVALUE(Data!D434),IFERROR(DATEVALUE(SUBSTITUTE(Data!D434,"-"," ")),""))))</f>
        <v/>
      </c>
      <c r="C434">
        <f>IF(Data!A434="","",IF(AND(A434="",B434=""),"Undated",IF(AND(A434&lt;&gt;"",TODAY()&lt;A434),"Upcoming",IF(AND(B434&lt;&gt;"",TODAY()&gt;B434),"Completed","Active"))))</f>
        <v/>
      </c>
    </row>
    <row r="435">
      <c r="A435" s="2">
        <f>IF(Data!A435="","",IF(ISNUMBER(Data!C435),Data!C435,IFERROR(DATEVALUE(Data!C435),IFERROR(DATEVALUE(SUBSTITUTE(Data!C435,"-"," ")),""))))</f>
        <v/>
      </c>
      <c r="B435" s="2">
        <f>IF(Data!A435="","",IF(ISNUMBER(Data!D435),Data!D435,IFERROR(DATEVALUE(Data!D435),IFERROR(DATEVALUE(SUBSTITUTE(Data!D435,"-"," ")),""))))</f>
        <v/>
      </c>
      <c r="C435">
        <f>IF(Data!A435="","",IF(AND(A435="",B435=""),"Undated",IF(AND(A435&lt;&gt;"",TODAY()&lt;A435),"Upcoming",IF(AND(B435&lt;&gt;"",TODAY()&gt;B435),"Completed","Active"))))</f>
        <v/>
      </c>
    </row>
    <row r="436">
      <c r="A436" s="2">
        <f>IF(Data!A436="","",IF(ISNUMBER(Data!C436),Data!C436,IFERROR(DATEVALUE(Data!C436),IFERROR(DATEVALUE(SUBSTITUTE(Data!C436,"-"," ")),""))))</f>
        <v/>
      </c>
      <c r="B436" s="2">
        <f>IF(Data!A436="","",IF(ISNUMBER(Data!D436),Data!D436,IFERROR(DATEVALUE(Data!D436),IFERROR(DATEVALUE(SUBSTITUTE(Data!D436,"-"," ")),""))))</f>
        <v/>
      </c>
      <c r="C436">
        <f>IF(Data!A436="","",IF(AND(A436="",B436=""),"Undated",IF(AND(A436&lt;&gt;"",TODAY()&lt;A436),"Upcoming",IF(AND(B436&lt;&gt;"",TODAY()&gt;B436),"Completed","Active"))))</f>
        <v/>
      </c>
    </row>
    <row r="437">
      <c r="A437" s="2">
        <f>IF(Data!A437="","",IF(ISNUMBER(Data!C437),Data!C437,IFERROR(DATEVALUE(Data!C437),IFERROR(DATEVALUE(SUBSTITUTE(Data!C437,"-"," ")),""))))</f>
        <v/>
      </c>
      <c r="B437" s="2">
        <f>IF(Data!A437="","",IF(ISNUMBER(Data!D437),Data!D437,IFERROR(DATEVALUE(Data!D437),IFERROR(DATEVALUE(SUBSTITUTE(Data!D437,"-"," ")),""))))</f>
        <v/>
      </c>
      <c r="C437">
        <f>IF(Data!A437="","",IF(AND(A437="",B437=""),"Undated",IF(AND(A437&lt;&gt;"",TODAY()&lt;A437),"Upcoming",IF(AND(B437&lt;&gt;"",TODAY()&gt;B437),"Completed","Active"))))</f>
        <v/>
      </c>
    </row>
    <row r="438">
      <c r="A438" s="2">
        <f>IF(Data!A438="","",IF(ISNUMBER(Data!C438),Data!C438,IFERROR(DATEVALUE(Data!C438),IFERROR(DATEVALUE(SUBSTITUTE(Data!C438,"-"," ")),""))))</f>
        <v/>
      </c>
      <c r="B438" s="2">
        <f>IF(Data!A438="","",IF(ISNUMBER(Data!D438),Data!D438,IFERROR(DATEVALUE(Data!D438),IFERROR(DATEVALUE(SUBSTITUTE(Data!D438,"-"," ")),""))))</f>
        <v/>
      </c>
      <c r="C438">
        <f>IF(Data!A438="","",IF(AND(A438="",B438=""),"Undated",IF(AND(A438&lt;&gt;"",TODAY()&lt;A438),"Upcoming",IF(AND(B438&lt;&gt;"",TODAY()&gt;B438),"Completed","Active"))))</f>
        <v/>
      </c>
    </row>
    <row r="439">
      <c r="A439" s="2">
        <f>IF(Data!A439="","",IF(ISNUMBER(Data!C439),Data!C439,IFERROR(DATEVALUE(Data!C439),IFERROR(DATEVALUE(SUBSTITUTE(Data!C439,"-"," ")),""))))</f>
        <v/>
      </c>
      <c r="B439" s="2">
        <f>IF(Data!A439="","",IF(ISNUMBER(Data!D439),Data!D439,IFERROR(DATEVALUE(Data!D439),IFERROR(DATEVALUE(SUBSTITUTE(Data!D439,"-"," ")),""))))</f>
        <v/>
      </c>
      <c r="C439">
        <f>IF(Data!A439="","",IF(AND(A439="",B439=""),"Undated",IF(AND(A439&lt;&gt;"",TODAY()&lt;A439),"Upcoming",IF(AND(B439&lt;&gt;"",TODAY()&gt;B439),"Completed","Active"))))</f>
        <v/>
      </c>
    </row>
    <row r="440">
      <c r="A440" s="2">
        <f>IF(Data!A440="","",IF(ISNUMBER(Data!C440),Data!C440,IFERROR(DATEVALUE(Data!C440),IFERROR(DATEVALUE(SUBSTITUTE(Data!C440,"-"," ")),""))))</f>
        <v/>
      </c>
      <c r="B440" s="2">
        <f>IF(Data!A440="","",IF(ISNUMBER(Data!D440),Data!D440,IFERROR(DATEVALUE(Data!D440),IFERROR(DATEVALUE(SUBSTITUTE(Data!D440,"-"," ")),""))))</f>
        <v/>
      </c>
      <c r="C440">
        <f>IF(Data!A440="","",IF(AND(A440="",B440=""),"Undated",IF(AND(A440&lt;&gt;"",TODAY()&lt;A440),"Upcoming",IF(AND(B440&lt;&gt;"",TODAY()&gt;B440),"Completed","Active"))))</f>
        <v/>
      </c>
    </row>
    <row r="441">
      <c r="A441" s="2">
        <f>IF(Data!A441="","",IF(ISNUMBER(Data!C441),Data!C441,IFERROR(DATEVALUE(Data!C441),IFERROR(DATEVALUE(SUBSTITUTE(Data!C441,"-"," ")),""))))</f>
        <v/>
      </c>
      <c r="B441" s="2">
        <f>IF(Data!A441="","",IF(ISNUMBER(Data!D441),Data!D441,IFERROR(DATEVALUE(Data!D441),IFERROR(DATEVALUE(SUBSTITUTE(Data!D441,"-"," ")),""))))</f>
        <v/>
      </c>
      <c r="C441">
        <f>IF(Data!A441="","",IF(AND(A441="",B441=""),"Undated",IF(AND(A441&lt;&gt;"",TODAY()&lt;A441),"Upcoming",IF(AND(B441&lt;&gt;"",TODAY()&gt;B441),"Completed","Active"))))</f>
        <v/>
      </c>
    </row>
    <row r="442">
      <c r="A442" s="2">
        <f>IF(Data!A442="","",IF(ISNUMBER(Data!C442),Data!C442,IFERROR(DATEVALUE(Data!C442),IFERROR(DATEVALUE(SUBSTITUTE(Data!C442,"-"," ")),""))))</f>
        <v/>
      </c>
      <c r="B442" s="2">
        <f>IF(Data!A442="","",IF(ISNUMBER(Data!D442),Data!D442,IFERROR(DATEVALUE(Data!D442),IFERROR(DATEVALUE(SUBSTITUTE(Data!D442,"-"," ")),""))))</f>
        <v/>
      </c>
      <c r="C442">
        <f>IF(Data!A442="","",IF(AND(A442="",B442=""),"Undated",IF(AND(A442&lt;&gt;"",TODAY()&lt;A442),"Upcoming",IF(AND(B442&lt;&gt;"",TODAY()&gt;B442),"Completed","Active"))))</f>
        <v/>
      </c>
    </row>
    <row r="443">
      <c r="A443" s="2">
        <f>IF(Data!A443="","",IF(ISNUMBER(Data!C443),Data!C443,IFERROR(DATEVALUE(Data!C443),IFERROR(DATEVALUE(SUBSTITUTE(Data!C443,"-"," ")),""))))</f>
        <v/>
      </c>
      <c r="B443" s="2">
        <f>IF(Data!A443="","",IF(ISNUMBER(Data!D443),Data!D443,IFERROR(DATEVALUE(Data!D443),IFERROR(DATEVALUE(SUBSTITUTE(Data!D443,"-"," ")),""))))</f>
        <v/>
      </c>
      <c r="C443">
        <f>IF(Data!A443="","",IF(AND(A443="",B443=""),"Undated",IF(AND(A443&lt;&gt;"",TODAY()&lt;A443),"Upcoming",IF(AND(B443&lt;&gt;"",TODAY()&gt;B443),"Completed","Active"))))</f>
        <v/>
      </c>
    </row>
    <row r="444">
      <c r="A444" s="2">
        <f>IF(Data!A444="","",IF(ISNUMBER(Data!C444),Data!C444,IFERROR(DATEVALUE(Data!C444),IFERROR(DATEVALUE(SUBSTITUTE(Data!C444,"-"," ")),""))))</f>
        <v/>
      </c>
      <c r="B444" s="2">
        <f>IF(Data!A444="","",IF(ISNUMBER(Data!D444),Data!D444,IFERROR(DATEVALUE(Data!D444),IFERROR(DATEVALUE(SUBSTITUTE(Data!D444,"-"," ")),""))))</f>
        <v/>
      </c>
      <c r="C444">
        <f>IF(Data!A444="","",IF(AND(A444="",B444=""),"Undated",IF(AND(A444&lt;&gt;"",TODAY()&lt;A444),"Upcoming",IF(AND(B444&lt;&gt;"",TODAY()&gt;B444),"Completed","Active"))))</f>
        <v/>
      </c>
    </row>
    <row r="445">
      <c r="A445" s="2">
        <f>IF(Data!A445="","",IF(ISNUMBER(Data!C445),Data!C445,IFERROR(DATEVALUE(Data!C445),IFERROR(DATEVALUE(SUBSTITUTE(Data!C445,"-"," ")),""))))</f>
        <v/>
      </c>
      <c r="B445" s="2">
        <f>IF(Data!A445="","",IF(ISNUMBER(Data!D445),Data!D445,IFERROR(DATEVALUE(Data!D445),IFERROR(DATEVALUE(SUBSTITUTE(Data!D445,"-"," ")),""))))</f>
        <v/>
      </c>
      <c r="C445">
        <f>IF(Data!A445="","",IF(AND(A445="",B445=""),"Undated",IF(AND(A445&lt;&gt;"",TODAY()&lt;A445),"Upcoming",IF(AND(B445&lt;&gt;"",TODAY()&gt;B445),"Completed","Active"))))</f>
        <v/>
      </c>
    </row>
    <row r="446">
      <c r="A446" s="2">
        <f>IF(Data!A446="","",IF(ISNUMBER(Data!C446),Data!C446,IFERROR(DATEVALUE(Data!C446),IFERROR(DATEVALUE(SUBSTITUTE(Data!C446,"-"," ")),""))))</f>
        <v/>
      </c>
      <c r="B446" s="2">
        <f>IF(Data!A446="","",IF(ISNUMBER(Data!D446),Data!D446,IFERROR(DATEVALUE(Data!D446),IFERROR(DATEVALUE(SUBSTITUTE(Data!D446,"-"," ")),""))))</f>
        <v/>
      </c>
      <c r="C446">
        <f>IF(Data!A446="","",IF(AND(A446="",B446=""),"Undated",IF(AND(A446&lt;&gt;"",TODAY()&lt;A446),"Upcoming",IF(AND(B446&lt;&gt;"",TODAY()&gt;B446),"Completed","Active"))))</f>
        <v/>
      </c>
    </row>
    <row r="447">
      <c r="A447" s="2">
        <f>IF(Data!A447="","",IF(ISNUMBER(Data!C447),Data!C447,IFERROR(DATEVALUE(Data!C447),IFERROR(DATEVALUE(SUBSTITUTE(Data!C447,"-"," ")),""))))</f>
        <v/>
      </c>
      <c r="B447" s="2">
        <f>IF(Data!A447="","",IF(ISNUMBER(Data!D447),Data!D447,IFERROR(DATEVALUE(Data!D447),IFERROR(DATEVALUE(SUBSTITUTE(Data!D447,"-"," ")),""))))</f>
        <v/>
      </c>
      <c r="C447">
        <f>IF(Data!A447="","",IF(AND(A447="",B447=""),"Undated",IF(AND(A447&lt;&gt;"",TODAY()&lt;A447),"Upcoming",IF(AND(B447&lt;&gt;"",TODAY()&gt;B447),"Completed","Active"))))</f>
        <v/>
      </c>
    </row>
    <row r="448">
      <c r="A448" s="2">
        <f>IF(Data!A448="","",IF(ISNUMBER(Data!C448),Data!C448,IFERROR(DATEVALUE(Data!C448),IFERROR(DATEVALUE(SUBSTITUTE(Data!C448,"-"," ")),""))))</f>
        <v/>
      </c>
      <c r="B448" s="2">
        <f>IF(Data!A448="","",IF(ISNUMBER(Data!D448),Data!D448,IFERROR(DATEVALUE(Data!D448),IFERROR(DATEVALUE(SUBSTITUTE(Data!D448,"-"," ")),""))))</f>
        <v/>
      </c>
      <c r="C448">
        <f>IF(Data!A448="","",IF(AND(A448="",B448=""),"Undated",IF(AND(A448&lt;&gt;"",TODAY()&lt;A448),"Upcoming",IF(AND(B448&lt;&gt;"",TODAY()&gt;B448),"Completed","Active"))))</f>
        <v/>
      </c>
    </row>
    <row r="449">
      <c r="A449" s="2">
        <f>IF(Data!A449="","",IF(ISNUMBER(Data!C449),Data!C449,IFERROR(DATEVALUE(Data!C449),IFERROR(DATEVALUE(SUBSTITUTE(Data!C449,"-"," ")),""))))</f>
        <v/>
      </c>
      <c r="B449" s="2">
        <f>IF(Data!A449="","",IF(ISNUMBER(Data!D449),Data!D449,IFERROR(DATEVALUE(Data!D449),IFERROR(DATEVALUE(SUBSTITUTE(Data!D449,"-"," ")),""))))</f>
        <v/>
      </c>
      <c r="C449">
        <f>IF(Data!A449="","",IF(AND(A449="",B449=""),"Undated",IF(AND(A449&lt;&gt;"",TODAY()&lt;A449),"Upcoming",IF(AND(B449&lt;&gt;"",TODAY()&gt;B449),"Completed","Active"))))</f>
        <v/>
      </c>
    </row>
    <row r="450">
      <c r="A450" s="2">
        <f>IF(Data!A450="","",IF(ISNUMBER(Data!C450),Data!C450,IFERROR(DATEVALUE(Data!C450),IFERROR(DATEVALUE(SUBSTITUTE(Data!C450,"-"," ")),""))))</f>
        <v/>
      </c>
      <c r="B450" s="2">
        <f>IF(Data!A450="","",IF(ISNUMBER(Data!D450),Data!D450,IFERROR(DATEVALUE(Data!D450),IFERROR(DATEVALUE(SUBSTITUTE(Data!D450,"-"," ")),""))))</f>
        <v/>
      </c>
      <c r="C450">
        <f>IF(Data!A450="","",IF(AND(A450="",B450=""),"Undated",IF(AND(A450&lt;&gt;"",TODAY()&lt;A450),"Upcoming",IF(AND(B450&lt;&gt;"",TODAY()&gt;B450),"Completed","Active"))))</f>
        <v/>
      </c>
    </row>
    <row r="451">
      <c r="A451" s="2">
        <f>IF(Data!A451="","",IF(ISNUMBER(Data!C451),Data!C451,IFERROR(DATEVALUE(Data!C451),IFERROR(DATEVALUE(SUBSTITUTE(Data!C451,"-"," ")),""))))</f>
        <v/>
      </c>
      <c r="B451" s="2">
        <f>IF(Data!A451="","",IF(ISNUMBER(Data!D451),Data!D451,IFERROR(DATEVALUE(Data!D451),IFERROR(DATEVALUE(SUBSTITUTE(Data!D451,"-"," ")),""))))</f>
        <v/>
      </c>
      <c r="C451">
        <f>IF(Data!A451="","",IF(AND(A451="",B451=""),"Undated",IF(AND(A451&lt;&gt;"",TODAY()&lt;A451),"Upcoming",IF(AND(B451&lt;&gt;"",TODAY()&gt;B451),"Completed","Active"))))</f>
        <v/>
      </c>
    </row>
    <row r="452">
      <c r="A452" s="2">
        <f>IF(Data!A452="","",IF(ISNUMBER(Data!C452),Data!C452,IFERROR(DATEVALUE(Data!C452),IFERROR(DATEVALUE(SUBSTITUTE(Data!C452,"-"," ")),""))))</f>
        <v/>
      </c>
      <c r="B452" s="2">
        <f>IF(Data!A452="","",IF(ISNUMBER(Data!D452),Data!D452,IFERROR(DATEVALUE(Data!D452),IFERROR(DATEVALUE(SUBSTITUTE(Data!D452,"-"," ")),""))))</f>
        <v/>
      </c>
      <c r="C452">
        <f>IF(Data!A452="","",IF(AND(A452="",B452=""),"Undated",IF(AND(A452&lt;&gt;"",TODAY()&lt;A452),"Upcoming",IF(AND(B452&lt;&gt;"",TODAY()&gt;B452),"Completed","Active"))))</f>
        <v/>
      </c>
    </row>
    <row r="453">
      <c r="A453" s="2">
        <f>IF(Data!A453="","",IF(ISNUMBER(Data!C453),Data!C453,IFERROR(DATEVALUE(Data!C453),IFERROR(DATEVALUE(SUBSTITUTE(Data!C453,"-"," ")),""))))</f>
        <v/>
      </c>
      <c r="B453" s="2">
        <f>IF(Data!A453="","",IF(ISNUMBER(Data!D453),Data!D453,IFERROR(DATEVALUE(Data!D453),IFERROR(DATEVALUE(SUBSTITUTE(Data!D453,"-"," ")),""))))</f>
        <v/>
      </c>
      <c r="C453">
        <f>IF(Data!A453="","",IF(AND(A453="",B453=""),"Undated",IF(AND(A453&lt;&gt;"",TODAY()&lt;A453),"Upcoming",IF(AND(B453&lt;&gt;"",TODAY()&gt;B453),"Completed","Active"))))</f>
        <v/>
      </c>
    </row>
    <row r="454">
      <c r="A454" s="2">
        <f>IF(Data!A454="","",IF(ISNUMBER(Data!C454),Data!C454,IFERROR(DATEVALUE(Data!C454),IFERROR(DATEVALUE(SUBSTITUTE(Data!C454,"-"," ")),""))))</f>
        <v/>
      </c>
      <c r="B454" s="2">
        <f>IF(Data!A454="","",IF(ISNUMBER(Data!D454),Data!D454,IFERROR(DATEVALUE(Data!D454),IFERROR(DATEVALUE(SUBSTITUTE(Data!D454,"-"," ")),""))))</f>
        <v/>
      </c>
      <c r="C454">
        <f>IF(Data!A454="","",IF(AND(A454="",B454=""),"Undated",IF(AND(A454&lt;&gt;"",TODAY()&lt;A454),"Upcoming",IF(AND(B454&lt;&gt;"",TODAY()&gt;B454),"Completed","Active"))))</f>
        <v/>
      </c>
    </row>
    <row r="455">
      <c r="A455" s="2">
        <f>IF(Data!A455="","",IF(ISNUMBER(Data!C455),Data!C455,IFERROR(DATEVALUE(Data!C455),IFERROR(DATEVALUE(SUBSTITUTE(Data!C455,"-"," ")),""))))</f>
        <v/>
      </c>
      <c r="B455" s="2">
        <f>IF(Data!A455="","",IF(ISNUMBER(Data!D455),Data!D455,IFERROR(DATEVALUE(Data!D455),IFERROR(DATEVALUE(SUBSTITUTE(Data!D455,"-"," ")),""))))</f>
        <v/>
      </c>
      <c r="C455">
        <f>IF(Data!A455="","",IF(AND(A455="",B455=""),"Undated",IF(AND(A455&lt;&gt;"",TODAY()&lt;A455),"Upcoming",IF(AND(B455&lt;&gt;"",TODAY()&gt;B455),"Completed","Active"))))</f>
        <v/>
      </c>
    </row>
    <row r="456">
      <c r="A456" s="2">
        <f>IF(Data!A456="","",IF(ISNUMBER(Data!C456),Data!C456,IFERROR(DATEVALUE(Data!C456),IFERROR(DATEVALUE(SUBSTITUTE(Data!C456,"-"," ")),""))))</f>
        <v/>
      </c>
      <c r="B456" s="2">
        <f>IF(Data!A456="","",IF(ISNUMBER(Data!D456),Data!D456,IFERROR(DATEVALUE(Data!D456),IFERROR(DATEVALUE(SUBSTITUTE(Data!D456,"-"," ")),""))))</f>
        <v/>
      </c>
      <c r="C456">
        <f>IF(Data!A456="","",IF(AND(A456="",B456=""),"Undated",IF(AND(A456&lt;&gt;"",TODAY()&lt;A456),"Upcoming",IF(AND(B456&lt;&gt;"",TODAY()&gt;B456),"Completed","Active"))))</f>
        <v/>
      </c>
    </row>
    <row r="457">
      <c r="A457" s="2">
        <f>IF(Data!A457="","",IF(ISNUMBER(Data!C457),Data!C457,IFERROR(DATEVALUE(Data!C457),IFERROR(DATEVALUE(SUBSTITUTE(Data!C457,"-"," ")),""))))</f>
        <v/>
      </c>
      <c r="B457" s="2">
        <f>IF(Data!A457="","",IF(ISNUMBER(Data!D457),Data!D457,IFERROR(DATEVALUE(Data!D457),IFERROR(DATEVALUE(SUBSTITUTE(Data!D457,"-"," ")),""))))</f>
        <v/>
      </c>
      <c r="C457">
        <f>IF(Data!A457="","",IF(AND(A457="",B457=""),"Undated",IF(AND(A457&lt;&gt;"",TODAY()&lt;A457),"Upcoming",IF(AND(B457&lt;&gt;"",TODAY()&gt;B457),"Completed","Active"))))</f>
        <v/>
      </c>
    </row>
    <row r="458">
      <c r="A458" s="2">
        <f>IF(Data!A458="","",IF(ISNUMBER(Data!C458),Data!C458,IFERROR(DATEVALUE(Data!C458),IFERROR(DATEVALUE(SUBSTITUTE(Data!C458,"-"," ")),""))))</f>
        <v/>
      </c>
      <c r="B458" s="2">
        <f>IF(Data!A458="","",IF(ISNUMBER(Data!D458),Data!D458,IFERROR(DATEVALUE(Data!D458),IFERROR(DATEVALUE(SUBSTITUTE(Data!D458,"-"," ")),""))))</f>
        <v/>
      </c>
      <c r="C458">
        <f>IF(Data!A458="","",IF(AND(A458="",B458=""),"Undated",IF(AND(A458&lt;&gt;"",TODAY()&lt;A458),"Upcoming",IF(AND(B458&lt;&gt;"",TODAY()&gt;B458),"Completed","Active"))))</f>
        <v/>
      </c>
    </row>
    <row r="459">
      <c r="A459" s="2">
        <f>IF(Data!A459="","",IF(ISNUMBER(Data!C459),Data!C459,IFERROR(DATEVALUE(Data!C459),IFERROR(DATEVALUE(SUBSTITUTE(Data!C459,"-"," ")),""))))</f>
        <v/>
      </c>
      <c r="B459" s="2">
        <f>IF(Data!A459="","",IF(ISNUMBER(Data!D459),Data!D459,IFERROR(DATEVALUE(Data!D459),IFERROR(DATEVALUE(SUBSTITUTE(Data!D459,"-"," ")),""))))</f>
        <v/>
      </c>
      <c r="C459">
        <f>IF(Data!A459="","",IF(AND(A459="",B459=""),"Undated",IF(AND(A459&lt;&gt;"",TODAY()&lt;A459),"Upcoming",IF(AND(B459&lt;&gt;"",TODAY()&gt;B459),"Completed","Active"))))</f>
        <v/>
      </c>
    </row>
    <row r="460">
      <c r="A460" s="2">
        <f>IF(Data!A460="","",IF(ISNUMBER(Data!C460),Data!C460,IFERROR(DATEVALUE(Data!C460),IFERROR(DATEVALUE(SUBSTITUTE(Data!C460,"-"," ")),""))))</f>
        <v/>
      </c>
      <c r="B460" s="2">
        <f>IF(Data!A460="","",IF(ISNUMBER(Data!D460),Data!D460,IFERROR(DATEVALUE(Data!D460),IFERROR(DATEVALUE(SUBSTITUTE(Data!D460,"-"," ")),""))))</f>
        <v/>
      </c>
      <c r="C460">
        <f>IF(Data!A460="","",IF(AND(A460="",B460=""),"Undated",IF(AND(A460&lt;&gt;"",TODAY()&lt;A460),"Upcoming",IF(AND(B460&lt;&gt;"",TODAY()&gt;B460),"Completed","Active"))))</f>
        <v/>
      </c>
    </row>
    <row r="461">
      <c r="A461" s="2">
        <f>IF(Data!A461="","",IF(ISNUMBER(Data!C461),Data!C461,IFERROR(DATEVALUE(Data!C461),IFERROR(DATEVALUE(SUBSTITUTE(Data!C461,"-"," ")),""))))</f>
        <v/>
      </c>
      <c r="B461" s="2">
        <f>IF(Data!A461="","",IF(ISNUMBER(Data!D461),Data!D461,IFERROR(DATEVALUE(Data!D461),IFERROR(DATEVALUE(SUBSTITUTE(Data!D461,"-"," ")),""))))</f>
        <v/>
      </c>
      <c r="C461">
        <f>IF(Data!A461="","",IF(AND(A461="",B461=""),"Undated",IF(AND(A461&lt;&gt;"",TODAY()&lt;A461),"Upcoming",IF(AND(B461&lt;&gt;"",TODAY()&gt;B461),"Completed","Active"))))</f>
        <v/>
      </c>
    </row>
    <row r="462">
      <c r="A462" s="2">
        <f>IF(Data!A462="","",IF(ISNUMBER(Data!C462),Data!C462,IFERROR(DATEVALUE(Data!C462),IFERROR(DATEVALUE(SUBSTITUTE(Data!C462,"-"," ")),""))))</f>
        <v/>
      </c>
      <c r="B462" s="2">
        <f>IF(Data!A462="","",IF(ISNUMBER(Data!D462),Data!D462,IFERROR(DATEVALUE(Data!D462),IFERROR(DATEVALUE(SUBSTITUTE(Data!D462,"-"," ")),""))))</f>
        <v/>
      </c>
      <c r="C462">
        <f>IF(Data!A462="","",IF(AND(A462="",B462=""),"Undated",IF(AND(A462&lt;&gt;"",TODAY()&lt;A462),"Upcoming",IF(AND(B462&lt;&gt;"",TODAY()&gt;B462),"Completed","Active"))))</f>
        <v/>
      </c>
    </row>
    <row r="463">
      <c r="A463" s="2">
        <f>IF(Data!A463="","",IF(ISNUMBER(Data!C463),Data!C463,IFERROR(DATEVALUE(Data!C463),IFERROR(DATEVALUE(SUBSTITUTE(Data!C463,"-"," ")),""))))</f>
        <v/>
      </c>
      <c r="B463" s="2">
        <f>IF(Data!A463="","",IF(ISNUMBER(Data!D463),Data!D463,IFERROR(DATEVALUE(Data!D463),IFERROR(DATEVALUE(SUBSTITUTE(Data!D463,"-"," ")),""))))</f>
        <v/>
      </c>
      <c r="C463">
        <f>IF(Data!A463="","",IF(AND(A463="",B463=""),"Undated",IF(AND(A463&lt;&gt;"",TODAY()&lt;A463),"Upcoming",IF(AND(B463&lt;&gt;"",TODAY()&gt;B463),"Completed","Active"))))</f>
        <v/>
      </c>
    </row>
    <row r="464">
      <c r="A464" s="2">
        <f>IF(Data!A464="","",IF(ISNUMBER(Data!C464),Data!C464,IFERROR(DATEVALUE(Data!C464),IFERROR(DATEVALUE(SUBSTITUTE(Data!C464,"-"," ")),""))))</f>
        <v/>
      </c>
      <c r="B464" s="2">
        <f>IF(Data!A464="","",IF(ISNUMBER(Data!D464),Data!D464,IFERROR(DATEVALUE(Data!D464),IFERROR(DATEVALUE(SUBSTITUTE(Data!D464,"-"," ")),""))))</f>
        <v/>
      </c>
      <c r="C464">
        <f>IF(Data!A464="","",IF(AND(A464="",B464=""),"Undated",IF(AND(A464&lt;&gt;"",TODAY()&lt;A464),"Upcoming",IF(AND(B464&lt;&gt;"",TODAY()&gt;B464),"Completed","Active"))))</f>
        <v/>
      </c>
    </row>
    <row r="465">
      <c r="A465" s="2">
        <f>IF(Data!A465="","",IF(ISNUMBER(Data!C465),Data!C465,IFERROR(DATEVALUE(Data!C465),IFERROR(DATEVALUE(SUBSTITUTE(Data!C465,"-"," ")),""))))</f>
        <v/>
      </c>
      <c r="B465" s="2">
        <f>IF(Data!A465="","",IF(ISNUMBER(Data!D465),Data!D465,IFERROR(DATEVALUE(Data!D465),IFERROR(DATEVALUE(SUBSTITUTE(Data!D465,"-"," ")),""))))</f>
        <v/>
      </c>
      <c r="C465">
        <f>IF(Data!A465="","",IF(AND(A465="",B465=""),"Undated",IF(AND(A465&lt;&gt;"",TODAY()&lt;A465),"Upcoming",IF(AND(B465&lt;&gt;"",TODAY()&gt;B465),"Completed","Active"))))</f>
        <v/>
      </c>
    </row>
    <row r="466">
      <c r="A466" s="2">
        <f>IF(Data!A466="","",IF(ISNUMBER(Data!C466),Data!C466,IFERROR(DATEVALUE(Data!C466),IFERROR(DATEVALUE(SUBSTITUTE(Data!C466,"-"," ")),""))))</f>
        <v/>
      </c>
      <c r="B466" s="2">
        <f>IF(Data!A466="","",IF(ISNUMBER(Data!D466),Data!D466,IFERROR(DATEVALUE(Data!D466),IFERROR(DATEVALUE(SUBSTITUTE(Data!D466,"-"," ")),""))))</f>
        <v/>
      </c>
      <c r="C466">
        <f>IF(Data!A466="","",IF(AND(A466="",B466=""),"Undated",IF(AND(A466&lt;&gt;"",TODAY()&lt;A466),"Upcoming",IF(AND(B466&lt;&gt;"",TODAY()&gt;B466),"Completed","Active"))))</f>
        <v/>
      </c>
    </row>
    <row r="467">
      <c r="A467" s="2">
        <f>IF(Data!A467="","",IF(ISNUMBER(Data!C467),Data!C467,IFERROR(DATEVALUE(Data!C467),IFERROR(DATEVALUE(SUBSTITUTE(Data!C467,"-"," ")),""))))</f>
        <v/>
      </c>
      <c r="B467" s="2">
        <f>IF(Data!A467="","",IF(ISNUMBER(Data!D467),Data!D467,IFERROR(DATEVALUE(Data!D467),IFERROR(DATEVALUE(SUBSTITUTE(Data!D467,"-"," ")),""))))</f>
        <v/>
      </c>
      <c r="C467">
        <f>IF(Data!A467="","",IF(AND(A467="",B467=""),"Undated",IF(AND(A467&lt;&gt;"",TODAY()&lt;A467),"Upcoming",IF(AND(B467&lt;&gt;"",TODAY()&gt;B467),"Completed","Active"))))</f>
        <v/>
      </c>
    </row>
    <row r="468">
      <c r="A468" s="2">
        <f>IF(Data!A468="","",IF(ISNUMBER(Data!C468),Data!C468,IFERROR(DATEVALUE(Data!C468),IFERROR(DATEVALUE(SUBSTITUTE(Data!C468,"-"," ")),""))))</f>
        <v/>
      </c>
      <c r="B468" s="2">
        <f>IF(Data!A468="","",IF(ISNUMBER(Data!D468),Data!D468,IFERROR(DATEVALUE(Data!D468),IFERROR(DATEVALUE(SUBSTITUTE(Data!D468,"-"," ")),""))))</f>
        <v/>
      </c>
      <c r="C468">
        <f>IF(Data!A468="","",IF(AND(A468="",B468=""),"Undated",IF(AND(A468&lt;&gt;"",TODAY()&lt;A468),"Upcoming",IF(AND(B468&lt;&gt;"",TODAY()&gt;B468),"Completed","Active"))))</f>
        <v/>
      </c>
    </row>
    <row r="469">
      <c r="A469" s="2">
        <f>IF(Data!A469="","",IF(ISNUMBER(Data!C469),Data!C469,IFERROR(DATEVALUE(Data!C469),IFERROR(DATEVALUE(SUBSTITUTE(Data!C469,"-"," ")),""))))</f>
        <v/>
      </c>
      <c r="B469" s="2">
        <f>IF(Data!A469="","",IF(ISNUMBER(Data!D469),Data!D469,IFERROR(DATEVALUE(Data!D469),IFERROR(DATEVALUE(SUBSTITUTE(Data!D469,"-"," ")),""))))</f>
        <v/>
      </c>
      <c r="C469">
        <f>IF(Data!A469="","",IF(AND(A469="",B469=""),"Undated",IF(AND(A469&lt;&gt;"",TODAY()&lt;A469),"Upcoming",IF(AND(B469&lt;&gt;"",TODAY()&gt;B469),"Completed","Active"))))</f>
        <v/>
      </c>
    </row>
    <row r="470">
      <c r="A470" s="2">
        <f>IF(Data!A470="","",IF(ISNUMBER(Data!C470),Data!C470,IFERROR(DATEVALUE(Data!C470),IFERROR(DATEVALUE(SUBSTITUTE(Data!C470,"-"," ")),""))))</f>
        <v/>
      </c>
      <c r="B470" s="2">
        <f>IF(Data!A470="","",IF(ISNUMBER(Data!D470),Data!D470,IFERROR(DATEVALUE(Data!D470),IFERROR(DATEVALUE(SUBSTITUTE(Data!D470,"-"," ")),""))))</f>
        <v/>
      </c>
      <c r="C470">
        <f>IF(Data!A470="","",IF(AND(A470="",B470=""),"Undated",IF(AND(A470&lt;&gt;"",TODAY()&lt;A470),"Upcoming",IF(AND(B470&lt;&gt;"",TODAY()&gt;B470),"Completed","Active"))))</f>
        <v/>
      </c>
    </row>
    <row r="471">
      <c r="A471" s="2">
        <f>IF(Data!A471="","",IF(ISNUMBER(Data!C471),Data!C471,IFERROR(DATEVALUE(Data!C471),IFERROR(DATEVALUE(SUBSTITUTE(Data!C471,"-"," ")),""))))</f>
        <v/>
      </c>
      <c r="B471" s="2">
        <f>IF(Data!A471="","",IF(ISNUMBER(Data!D471),Data!D471,IFERROR(DATEVALUE(Data!D471),IFERROR(DATEVALUE(SUBSTITUTE(Data!D471,"-"," ")),""))))</f>
        <v/>
      </c>
      <c r="C471">
        <f>IF(Data!A471="","",IF(AND(A471="",B471=""),"Undated",IF(AND(A471&lt;&gt;"",TODAY()&lt;A471),"Upcoming",IF(AND(B471&lt;&gt;"",TODAY()&gt;B471),"Completed","Active"))))</f>
        <v/>
      </c>
    </row>
    <row r="472">
      <c r="A472" s="2">
        <f>IF(Data!A472="","",IF(ISNUMBER(Data!C472),Data!C472,IFERROR(DATEVALUE(Data!C472),IFERROR(DATEVALUE(SUBSTITUTE(Data!C472,"-"," ")),""))))</f>
        <v/>
      </c>
      <c r="B472" s="2">
        <f>IF(Data!A472="","",IF(ISNUMBER(Data!D472),Data!D472,IFERROR(DATEVALUE(Data!D472),IFERROR(DATEVALUE(SUBSTITUTE(Data!D472,"-"," ")),""))))</f>
        <v/>
      </c>
      <c r="C472">
        <f>IF(Data!A472="","",IF(AND(A472="",B472=""),"Undated",IF(AND(A472&lt;&gt;"",TODAY()&lt;A472),"Upcoming",IF(AND(B472&lt;&gt;"",TODAY()&gt;B472),"Completed","Active"))))</f>
        <v/>
      </c>
    </row>
    <row r="473">
      <c r="A473" s="2">
        <f>IF(Data!A473="","",IF(ISNUMBER(Data!C473),Data!C473,IFERROR(DATEVALUE(Data!C473),IFERROR(DATEVALUE(SUBSTITUTE(Data!C473,"-"," ")),""))))</f>
        <v/>
      </c>
      <c r="B473" s="2">
        <f>IF(Data!A473="","",IF(ISNUMBER(Data!D473),Data!D473,IFERROR(DATEVALUE(Data!D473),IFERROR(DATEVALUE(SUBSTITUTE(Data!D473,"-"," ")),""))))</f>
        <v/>
      </c>
      <c r="C473">
        <f>IF(Data!A473="","",IF(AND(A473="",B473=""),"Undated",IF(AND(A473&lt;&gt;"",TODAY()&lt;A473),"Upcoming",IF(AND(B473&lt;&gt;"",TODAY()&gt;B473),"Completed","Active"))))</f>
        <v/>
      </c>
    </row>
    <row r="474">
      <c r="A474" s="2">
        <f>IF(Data!A474="","",IF(ISNUMBER(Data!C474),Data!C474,IFERROR(DATEVALUE(Data!C474),IFERROR(DATEVALUE(SUBSTITUTE(Data!C474,"-"," ")),""))))</f>
        <v/>
      </c>
      <c r="B474" s="2">
        <f>IF(Data!A474="","",IF(ISNUMBER(Data!D474),Data!D474,IFERROR(DATEVALUE(Data!D474),IFERROR(DATEVALUE(SUBSTITUTE(Data!D474,"-"," ")),""))))</f>
        <v/>
      </c>
      <c r="C474">
        <f>IF(Data!A474="","",IF(AND(A474="",B474=""),"Undated",IF(AND(A474&lt;&gt;"",TODAY()&lt;A474),"Upcoming",IF(AND(B474&lt;&gt;"",TODAY()&gt;B474),"Completed","Active"))))</f>
        <v/>
      </c>
    </row>
    <row r="475">
      <c r="A475" s="2">
        <f>IF(Data!A475="","",IF(ISNUMBER(Data!C475),Data!C475,IFERROR(DATEVALUE(Data!C475),IFERROR(DATEVALUE(SUBSTITUTE(Data!C475,"-"," ")),""))))</f>
        <v/>
      </c>
      <c r="B475" s="2">
        <f>IF(Data!A475="","",IF(ISNUMBER(Data!D475),Data!D475,IFERROR(DATEVALUE(Data!D475),IFERROR(DATEVALUE(SUBSTITUTE(Data!D475,"-"," ")),""))))</f>
        <v/>
      </c>
      <c r="C475">
        <f>IF(Data!A475="","",IF(AND(A475="",B475=""),"Undated",IF(AND(A475&lt;&gt;"",TODAY()&lt;A475),"Upcoming",IF(AND(B475&lt;&gt;"",TODAY()&gt;B475),"Completed","Active"))))</f>
        <v/>
      </c>
    </row>
    <row r="476">
      <c r="A476" s="2">
        <f>IF(Data!A476="","",IF(ISNUMBER(Data!C476),Data!C476,IFERROR(DATEVALUE(Data!C476),IFERROR(DATEVALUE(SUBSTITUTE(Data!C476,"-"," ")),""))))</f>
        <v/>
      </c>
      <c r="B476" s="2">
        <f>IF(Data!A476="","",IF(ISNUMBER(Data!D476),Data!D476,IFERROR(DATEVALUE(Data!D476),IFERROR(DATEVALUE(SUBSTITUTE(Data!D476,"-"," ")),""))))</f>
        <v/>
      </c>
      <c r="C476">
        <f>IF(Data!A476="","",IF(AND(A476="",B476=""),"Undated",IF(AND(A476&lt;&gt;"",TODAY()&lt;A476),"Upcoming",IF(AND(B476&lt;&gt;"",TODAY()&gt;B476),"Completed","Active"))))</f>
        <v/>
      </c>
    </row>
    <row r="477">
      <c r="A477" s="2">
        <f>IF(Data!A477="","",IF(ISNUMBER(Data!C477),Data!C477,IFERROR(DATEVALUE(Data!C477),IFERROR(DATEVALUE(SUBSTITUTE(Data!C477,"-"," ")),""))))</f>
        <v/>
      </c>
      <c r="B477" s="2">
        <f>IF(Data!A477="","",IF(ISNUMBER(Data!D477),Data!D477,IFERROR(DATEVALUE(Data!D477),IFERROR(DATEVALUE(SUBSTITUTE(Data!D477,"-"," ")),""))))</f>
        <v/>
      </c>
      <c r="C477">
        <f>IF(Data!A477="","",IF(AND(A477="",B477=""),"Undated",IF(AND(A477&lt;&gt;"",TODAY()&lt;A477),"Upcoming",IF(AND(B477&lt;&gt;"",TODAY()&gt;B477),"Completed","Active"))))</f>
        <v/>
      </c>
    </row>
    <row r="478">
      <c r="A478" s="2">
        <f>IF(Data!A478="","",IF(ISNUMBER(Data!C478),Data!C478,IFERROR(DATEVALUE(Data!C478),IFERROR(DATEVALUE(SUBSTITUTE(Data!C478,"-"," ")),""))))</f>
        <v/>
      </c>
      <c r="B478" s="2">
        <f>IF(Data!A478="","",IF(ISNUMBER(Data!D478),Data!D478,IFERROR(DATEVALUE(Data!D478),IFERROR(DATEVALUE(SUBSTITUTE(Data!D478,"-"," ")),""))))</f>
        <v/>
      </c>
      <c r="C478">
        <f>IF(Data!A478="","",IF(AND(A478="",B478=""),"Undated",IF(AND(A478&lt;&gt;"",TODAY()&lt;A478),"Upcoming",IF(AND(B478&lt;&gt;"",TODAY()&gt;B478),"Completed","Active"))))</f>
        <v/>
      </c>
    </row>
    <row r="479">
      <c r="A479" s="2">
        <f>IF(Data!A479="","",IF(ISNUMBER(Data!C479),Data!C479,IFERROR(DATEVALUE(Data!C479),IFERROR(DATEVALUE(SUBSTITUTE(Data!C479,"-"," ")),""))))</f>
        <v/>
      </c>
      <c r="B479" s="2">
        <f>IF(Data!A479="","",IF(ISNUMBER(Data!D479),Data!D479,IFERROR(DATEVALUE(Data!D479),IFERROR(DATEVALUE(SUBSTITUTE(Data!D479,"-"," ")),""))))</f>
        <v/>
      </c>
      <c r="C479">
        <f>IF(Data!A479="","",IF(AND(A479="",B479=""),"Undated",IF(AND(A479&lt;&gt;"",TODAY()&lt;A479),"Upcoming",IF(AND(B479&lt;&gt;"",TODAY()&gt;B479),"Completed","Active"))))</f>
        <v/>
      </c>
    </row>
    <row r="480">
      <c r="A480" s="2">
        <f>IF(Data!A480="","",IF(ISNUMBER(Data!C480),Data!C480,IFERROR(DATEVALUE(Data!C480),IFERROR(DATEVALUE(SUBSTITUTE(Data!C480,"-"," ")),""))))</f>
        <v/>
      </c>
      <c r="B480" s="2">
        <f>IF(Data!A480="","",IF(ISNUMBER(Data!D480),Data!D480,IFERROR(DATEVALUE(Data!D480),IFERROR(DATEVALUE(SUBSTITUTE(Data!D480,"-"," ")),""))))</f>
        <v/>
      </c>
      <c r="C480">
        <f>IF(Data!A480="","",IF(AND(A480="",B480=""),"Undated",IF(AND(A480&lt;&gt;"",TODAY()&lt;A480),"Upcoming",IF(AND(B480&lt;&gt;"",TODAY()&gt;B480),"Completed","Active"))))</f>
        <v/>
      </c>
    </row>
    <row r="481">
      <c r="A481" s="2">
        <f>IF(Data!A481="","",IF(ISNUMBER(Data!C481),Data!C481,IFERROR(DATEVALUE(Data!C481),IFERROR(DATEVALUE(SUBSTITUTE(Data!C481,"-"," ")),""))))</f>
        <v/>
      </c>
      <c r="B481" s="2">
        <f>IF(Data!A481="","",IF(ISNUMBER(Data!D481),Data!D481,IFERROR(DATEVALUE(Data!D481),IFERROR(DATEVALUE(SUBSTITUTE(Data!D481,"-"," ")),""))))</f>
        <v/>
      </c>
      <c r="C481">
        <f>IF(Data!A481="","",IF(AND(A481="",B481=""),"Undated",IF(AND(A481&lt;&gt;"",TODAY()&lt;A481),"Upcoming",IF(AND(B481&lt;&gt;"",TODAY()&gt;B481),"Completed","Active"))))</f>
        <v/>
      </c>
    </row>
    <row r="482">
      <c r="A482" s="2">
        <f>IF(Data!A482="","",IF(ISNUMBER(Data!C482),Data!C482,IFERROR(DATEVALUE(Data!C482),IFERROR(DATEVALUE(SUBSTITUTE(Data!C482,"-"," ")),""))))</f>
        <v/>
      </c>
      <c r="B482" s="2">
        <f>IF(Data!A482="","",IF(ISNUMBER(Data!D482),Data!D482,IFERROR(DATEVALUE(Data!D482),IFERROR(DATEVALUE(SUBSTITUTE(Data!D482,"-"," ")),""))))</f>
        <v/>
      </c>
      <c r="C482">
        <f>IF(Data!A482="","",IF(AND(A482="",B482=""),"Undated",IF(AND(A482&lt;&gt;"",TODAY()&lt;A482),"Upcoming",IF(AND(B482&lt;&gt;"",TODAY()&gt;B482),"Completed","Active"))))</f>
        <v/>
      </c>
    </row>
    <row r="483">
      <c r="A483" s="2">
        <f>IF(Data!A483="","",IF(ISNUMBER(Data!C483),Data!C483,IFERROR(DATEVALUE(Data!C483),IFERROR(DATEVALUE(SUBSTITUTE(Data!C483,"-"," ")),""))))</f>
        <v/>
      </c>
      <c r="B483" s="2">
        <f>IF(Data!A483="","",IF(ISNUMBER(Data!D483),Data!D483,IFERROR(DATEVALUE(Data!D483),IFERROR(DATEVALUE(SUBSTITUTE(Data!D483,"-"," ")),""))))</f>
        <v/>
      </c>
      <c r="C483">
        <f>IF(Data!A483="","",IF(AND(A483="",B483=""),"Undated",IF(AND(A483&lt;&gt;"",TODAY()&lt;A483),"Upcoming",IF(AND(B483&lt;&gt;"",TODAY()&gt;B483),"Completed","Active"))))</f>
        <v/>
      </c>
    </row>
    <row r="484">
      <c r="A484" s="2">
        <f>IF(Data!A484="","",IF(ISNUMBER(Data!C484),Data!C484,IFERROR(DATEVALUE(Data!C484),IFERROR(DATEVALUE(SUBSTITUTE(Data!C484,"-"," ")),""))))</f>
        <v/>
      </c>
      <c r="B484" s="2">
        <f>IF(Data!A484="","",IF(ISNUMBER(Data!D484),Data!D484,IFERROR(DATEVALUE(Data!D484),IFERROR(DATEVALUE(SUBSTITUTE(Data!D484,"-"," ")),""))))</f>
        <v/>
      </c>
      <c r="C484">
        <f>IF(Data!A484="","",IF(AND(A484="",B484=""),"Undated",IF(AND(A484&lt;&gt;"",TODAY()&lt;A484),"Upcoming",IF(AND(B484&lt;&gt;"",TODAY()&gt;B484),"Completed","Active"))))</f>
        <v/>
      </c>
    </row>
    <row r="485">
      <c r="A485" s="2">
        <f>IF(Data!A485="","",IF(ISNUMBER(Data!C485),Data!C485,IFERROR(DATEVALUE(Data!C485),IFERROR(DATEVALUE(SUBSTITUTE(Data!C485,"-"," ")),""))))</f>
        <v/>
      </c>
      <c r="B485" s="2">
        <f>IF(Data!A485="","",IF(ISNUMBER(Data!D485),Data!D485,IFERROR(DATEVALUE(Data!D485),IFERROR(DATEVALUE(SUBSTITUTE(Data!D485,"-"," ")),""))))</f>
        <v/>
      </c>
      <c r="C485">
        <f>IF(Data!A485="","",IF(AND(A485="",B485=""),"Undated",IF(AND(A485&lt;&gt;"",TODAY()&lt;A485),"Upcoming",IF(AND(B485&lt;&gt;"",TODAY()&gt;B485),"Completed","Active"))))</f>
        <v/>
      </c>
    </row>
    <row r="486">
      <c r="A486" s="2">
        <f>IF(Data!A486="","",IF(ISNUMBER(Data!C486),Data!C486,IFERROR(DATEVALUE(Data!C486),IFERROR(DATEVALUE(SUBSTITUTE(Data!C486,"-"," ")),""))))</f>
        <v/>
      </c>
      <c r="B486" s="2">
        <f>IF(Data!A486="","",IF(ISNUMBER(Data!D486),Data!D486,IFERROR(DATEVALUE(Data!D486),IFERROR(DATEVALUE(SUBSTITUTE(Data!D486,"-"," ")),""))))</f>
        <v/>
      </c>
      <c r="C486">
        <f>IF(Data!A486="","",IF(AND(A486="",B486=""),"Undated",IF(AND(A486&lt;&gt;"",TODAY()&lt;A486),"Upcoming",IF(AND(B486&lt;&gt;"",TODAY()&gt;B486),"Completed","Active"))))</f>
        <v/>
      </c>
    </row>
    <row r="487">
      <c r="A487" s="2">
        <f>IF(Data!A487="","",IF(ISNUMBER(Data!C487),Data!C487,IFERROR(DATEVALUE(Data!C487),IFERROR(DATEVALUE(SUBSTITUTE(Data!C487,"-"," ")),""))))</f>
        <v/>
      </c>
      <c r="B487" s="2">
        <f>IF(Data!A487="","",IF(ISNUMBER(Data!D487),Data!D487,IFERROR(DATEVALUE(Data!D487),IFERROR(DATEVALUE(SUBSTITUTE(Data!D487,"-"," ")),""))))</f>
        <v/>
      </c>
      <c r="C487">
        <f>IF(Data!A487="","",IF(AND(A487="",B487=""),"Undated",IF(AND(A487&lt;&gt;"",TODAY()&lt;A487),"Upcoming",IF(AND(B487&lt;&gt;"",TODAY()&gt;B487),"Completed","Active"))))</f>
        <v/>
      </c>
    </row>
    <row r="488">
      <c r="A488" s="2">
        <f>IF(Data!A488="","",IF(ISNUMBER(Data!C488),Data!C488,IFERROR(DATEVALUE(Data!C488),IFERROR(DATEVALUE(SUBSTITUTE(Data!C488,"-"," ")),""))))</f>
        <v/>
      </c>
      <c r="B488" s="2">
        <f>IF(Data!A488="","",IF(ISNUMBER(Data!D488),Data!D488,IFERROR(DATEVALUE(Data!D488),IFERROR(DATEVALUE(SUBSTITUTE(Data!D488,"-"," ")),""))))</f>
        <v/>
      </c>
      <c r="C488">
        <f>IF(Data!A488="","",IF(AND(A488="",B488=""),"Undated",IF(AND(A488&lt;&gt;"",TODAY()&lt;A488),"Upcoming",IF(AND(B488&lt;&gt;"",TODAY()&gt;B488),"Completed","Active"))))</f>
        <v/>
      </c>
    </row>
    <row r="489">
      <c r="A489" s="2">
        <f>IF(Data!A489="","",IF(ISNUMBER(Data!C489),Data!C489,IFERROR(DATEVALUE(Data!C489),IFERROR(DATEVALUE(SUBSTITUTE(Data!C489,"-"," ")),""))))</f>
        <v/>
      </c>
      <c r="B489" s="2">
        <f>IF(Data!A489="","",IF(ISNUMBER(Data!D489),Data!D489,IFERROR(DATEVALUE(Data!D489),IFERROR(DATEVALUE(SUBSTITUTE(Data!D489,"-"," ")),""))))</f>
        <v/>
      </c>
      <c r="C489">
        <f>IF(Data!A489="","",IF(AND(A489="",B489=""),"Undated",IF(AND(A489&lt;&gt;"",TODAY()&lt;A489),"Upcoming",IF(AND(B489&lt;&gt;"",TODAY()&gt;B489),"Completed","Active"))))</f>
        <v/>
      </c>
    </row>
    <row r="490">
      <c r="A490" s="2">
        <f>IF(Data!A490="","",IF(ISNUMBER(Data!C490),Data!C490,IFERROR(DATEVALUE(Data!C490),IFERROR(DATEVALUE(SUBSTITUTE(Data!C490,"-"," ")),""))))</f>
        <v/>
      </c>
      <c r="B490" s="2">
        <f>IF(Data!A490="","",IF(ISNUMBER(Data!D490),Data!D490,IFERROR(DATEVALUE(Data!D490),IFERROR(DATEVALUE(SUBSTITUTE(Data!D490,"-"," ")),""))))</f>
        <v/>
      </c>
      <c r="C490">
        <f>IF(Data!A490="","",IF(AND(A490="",B490=""),"Undated",IF(AND(A490&lt;&gt;"",TODAY()&lt;A490),"Upcoming",IF(AND(B490&lt;&gt;"",TODAY()&gt;B490),"Completed","Active"))))</f>
        <v/>
      </c>
    </row>
    <row r="491">
      <c r="A491" s="2">
        <f>IF(Data!A491="","",IF(ISNUMBER(Data!C491),Data!C491,IFERROR(DATEVALUE(Data!C491),IFERROR(DATEVALUE(SUBSTITUTE(Data!C491,"-"," ")),""))))</f>
        <v/>
      </c>
      <c r="B491" s="2">
        <f>IF(Data!A491="","",IF(ISNUMBER(Data!D491),Data!D491,IFERROR(DATEVALUE(Data!D491),IFERROR(DATEVALUE(SUBSTITUTE(Data!D491,"-"," ")),""))))</f>
        <v/>
      </c>
      <c r="C491">
        <f>IF(Data!A491="","",IF(AND(A491="",B491=""),"Undated",IF(AND(A491&lt;&gt;"",TODAY()&lt;A491),"Upcoming",IF(AND(B491&lt;&gt;"",TODAY()&gt;B491),"Completed","Active"))))</f>
        <v/>
      </c>
    </row>
    <row r="492">
      <c r="A492" s="2">
        <f>IF(Data!A492="","",IF(ISNUMBER(Data!C492),Data!C492,IFERROR(DATEVALUE(Data!C492),IFERROR(DATEVALUE(SUBSTITUTE(Data!C492,"-"," ")),""))))</f>
        <v/>
      </c>
      <c r="B492" s="2">
        <f>IF(Data!A492="","",IF(ISNUMBER(Data!D492),Data!D492,IFERROR(DATEVALUE(Data!D492),IFERROR(DATEVALUE(SUBSTITUTE(Data!D492,"-"," ")),""))))</f>
        <v/>
      </c>
      <c r="C492">
        <f>IF(Data!A492="","",IF(AND(A492="",B492=""),"Undated",IF(AND(A492&lt;&gt;"",TODAY()&lt;A492),"Upcoming",IF(AND(B492&lt;&gt;"",TODAY()&gt;B492),"Completed","Active"))))</f>
        <v/>
      </c>
    </row>
    <row r="493">
      <c r="A493" s="2">
        <f>IF(Data!A493="","",IF(ISNUMBER(Data!C493),Data!C493,IFERROR(DATEVALUE(Data!C493),IFERROR(DATEVALUE(SUBSTITUTE(Data!C493,"-"," ")),""))))</f>
        <v/>
      </c>
      <c r="B493" s="2">
        <f>IF(Data!A493="","",IF(ISNUMBER(Data!D493),Data!D493,IFERROR(DATEVALUE(Data!D493),IFERROR(DATEVALUE(SUBSTITUTE(Data!D493,"-"," ")),""))))</f>
        <v/>
      </c>
      <c r="C493">
        <f>IF(Data!A493="","",IF(AND(A493="",B493=""),"Undated",IF(AND(A493&lt;&gt;"",TODAY()&lt;A493),"Upcoming",IF(AND(B493&lt;&gt;"",TODAY()&gt;B493),"Completed","Active"))))</f>
        <v/>
      </c>
    </row>
    <row r="494">
      <c r="A494" s="2">
        <f>IF(Data!A494="","",IF(ISNUMBER(Data!C494),Data!C494,IFERROR(DATEVALUE(Data!C494),IFERROR(DATEVALUE(SUBSTITUTE(Data!C494,"-"," ")),""))))</f>
        <v/>
      </c>
      <c r="B494" s="2">
        <f>IF(Data!A494="","",IF(ISNUMBER(Data!D494),Data!D494,IFERROR(DATEVALUE(Data!D494),IFERROR(DATEVALUE(SUBSTITUTE(Data!D494,"-"," ")),""))))</f>
        <v/>
      </c>
      <c r="C494">
        <f>IF(Data!A494="","",IF(AND(A494="",B494=""),"Undated",IF(AND(A494&lt;&gt;"",TODAY()&lt;A494),"Upcoming",IF(AND(B494&lt;&gt;"",TODAY()&gt;B494),"Completed","Active"))))</f>
        <v/>
      </c>
    </row>
    <row r="495">
      <c r="A495" s="2">
        <f>IF(Data!A495="","",IF(ISNUMBER(Data!C495),Data!C495,IFERROR(DATEVALUE(Data!C495),IFERROR(DATEVALUE(SUBSTITUTE(Data!C495,"-"," ")),""))))</f>
        <v/>
      </c>
      <c r="B495" s="2">
        <f>IF(Data!A495="","",IF(ISNUMBER(Data!D495),Data!D495,IFERROR(DATEVALUE(Data!D495),IFERROR(DATEVALUE(SUBSTITUTE(Data!D495,"-"," ")),""))))</f>
        <v/>
      </c>
      <c r="C495">
        <f>IF(Data!A495="","",IF(AND(A495="",B495=""),"Undated",IF(AND(A495&lt;&gt;"",TODAY()&lt;A495),"Upcoming",IF(AND(B495&lt;&gt;"",TODAY()&gt;B495),"Completed","Active"))))</f>
        <v/>
      </c>
    </row>
    <row r="496">
      <c r="A496" s="2">
        <f>IF(Data!A496="","",IF(ISNUMBER(Data!C496),Data!C496,IFERROR(DATEVALUE(Data!C496),IFERROR(DATEVALUE(SUBSTITUTE(Data!C496,"-"," ")),""))))</f>
        <v/>
      </c>
      <c r="B496" s="2">
        <f>IF(Data!A496="","",IF(ISNUMBER(Data!D496),Data!D496,IFERROR(DATEVALUE(Data!D496),IFERROR(DATEVALUE(SUBSTITUTE(Data!D496,"-"," ")),""))))</f>
        <v/>
      </c>
      <c r="C496">
        <f>IF(Data!A496="","",IF(AND(A496="",B496=""),"Undated",IF(AND(A496&lt;&gt;"",TODAY()&lt;A496),"Upcoming",IF(AND(B496&lt;&gt;"",TODAY()&gt;B496),"Completed","Active"))))</f>
        <v/>
      </c>
    </row>
    <row r="497">
      <c r="A497" s="2">
        <f>IF(Data!A497="","",IF(ISNUMBER(Data!C497),Data!C497,IFERROR(DATEVALUE(Data!C497),IFERROR(DATEVALUE(SUBSTITUTE(Data!C497,"-"," ")),""))))</f>
        <v/>
      </c>
      <c r="B497" s="2">
        <f>IF(Data!A497="","",IF(ISNUMBER(Data!D497),Data!D497,IFERROR(DATEVALUE(Data!D497),IFERROR(DATEVALUE(SUBSTITUTE(Data!D497,"-"," ")),""))))</f>
        <v/>
      </c>
      <c r="C497">
        <f>IF(Data!A497="","",IF(AND(A497="",B497=""),"Undated",IF(AND(A497&lt;&gt;"",TODAY()&lt;A497),"Upcoming",IF(AND(B497&lt;&gt;"",TODAY()&gt;B497),"Completed","Active"))))</f>
        <v/>
      </c>
    </row>
    <row r="498">
      <c r="A498" s="2">
        <f>IF(Data!A498="","",IF(ISNUMBER(Data!C498),Data!C498,IFERROR(DATEVALUE(Data!C498),IFERROR(DATEVALUE(SUBSTITUTE(Data!C498,"-"," ")),""))))</f>
        <v/>
      </c>
      <c r="B498" s="2">
        <f>IF(Data!A498="","",IF(ISNUMBER(Data!D498),Data!D498,IFERROR(DATEVALUE(Data!D498),IFERROR(DATEVALUE(SUBSTITUTE(Data!D498,"-"," ")),""))))</f>
        <v/>
      </c>
      <c r="C498">
        <f>IF(Data!A498="","",IF(AND(A498="",B498=""),"Undated",IF(AND(A498&lt;&gt;"",TODAY()&lt;A498),"Upcoming",IF(AND(B498&lt;&gt;"",TODAY()&gt;B498),"Completed","Active"))))</f>
        <v/>
      </c>
    </row>
    <row r="499">
      <c r="A499" s="2">
        <f>IF(Data!A499="","",IF(ISNUMBER(Data!C499),Data!C499,IFERROR(DATEVALUE(Data!C499),IFERROR(DATEVALUE(SUBSTITUTE(Data!C499,"-"," ")),""))))</f>
        <v/>
      </c>
      <c r="B499" s="2">
        <f>IF(Data!A499="","",IF(ISNUMBER(Data!D499),Data!D499,IFERROR(DATEVALUE(Data!D499),IFERROR(DATEVALUE(SUBSTITUTE(Data!D499,"-"," ")),""))))</f>
        <v/>
      </c>
      <c r="C499">
        <f>IF(Data!A499="","",IF(AND(A499="",B499=""),"Undated",IF(AND(A499&lt;&gt;"",TODAY()&lt;A499),"Upcoming",IF(AND(B499&lt;&gt;"",TODAY()&gt;B499),"Completed","Active"))))</f>
        <v/>
      </c>
    </row>
    <row r="500">
      <c r="A500" s="2">
        <f>IF(Data!A500="","",IF(ISNUMBER(Data!C500),Data!C500,IFERROR(DATEVALUE(Data!C500),IFERROR(DATEVALUE(SUBSTITUTE(Data!C500,"-"," ")),""))))</f>
        <v/>
      </c>
      <c r="B500" s="2">
        <f>IF(Data!A500="","",IF(ISNUMBER(Data!D500),Data!D500,IFERROR(DATEVALUE(Data!D500),IFERROR(DATEVALUE(SUBSTITUTE(Data!D500,"-"," ")),""))))</f>
        <v/>
      </c>
      <c r="C500">
        <f>IF(Data!A500="","",IF(AND(A500="",B500=""),"Undated",IF(AND(A500&lt;&gt;"",TODAY()&lt;A500),"Upcoming",IF(AND(B500&lt;&gt;"",TODAY()&gt;B500),"Completed","Active"))))</f>
        <v/>
      </c>
    </row>
    <row r="501">
      <c r="A501" s="2">
        <f>IF(Data!A501="","",IF(ISNUMBER(Data!C501),Data!C501,IFERROR(DATEVALUE(Data!C501),IFERROR(DATEVALUE(SUBSTITUTE(Data!C501,"-"," ")),""))))</f>
        <v/>
      </c>
      <c r="B501" s="2">
        <f>IF(Data!A501="","",IF(ISNUMBER(Data!D501),Data!D501,IFERROR(DATEVALUE(Data!D501),IFERROR(DATEVALUE(SUBSTITUTE(Data!D501,"-"," ")),""))))</f>
        <v/>
      </c>
      <c r="C501">
        <f>IF(Data!A501="","",IF(AND(A501="",B501=""),"Undated",IF(AND(A501&lt;&gt;"",TODAY()&lt;A501),"Upcoming",IF(AND(B501&lt;&gt;"",TODAY()&gt;B501),"Completed","Active"))))</f>
        <v/>
      </c>
    </row>
    <row r="502">
      <c r="A502" s="2">
        <f>IF(Data!A502="","",IF(ISNUMBER(Data!C502),Data!C502,IFERROR(DATEVALUE(Data!C502),IFERROR(DATEVALUE(SUBSTITUTE(Data!C502,"-"," ")),""))))</f>
        <v/>
      </c>
      <c r="B502" s="2">
        <f>IF(Data!A502="","",IF(ISNUMBER(Data!D502),Data!D502,IFERROR(DATEVALUE(Data!D502),IFERROR(DATEVALUE(SUBSTITUTE(Data!D502,"-"," ")),""))))</f>
        <v/>
      </c>
      <c r="C502">
        <f>IF(Data!A502="","",IF(AND(A502="",B502=""),"Undated",IF(AND(A502&lt;&gt;"",TODAY()&lt;A502),"Upcoming",IF(AND(B502&lt;&gt;"",TODAY()&gt;B502),"Completed","Active"))))</f>
        <v/>
      </c>
    </row>
    <row r="503">
      <c r="A503" s="2">
        <f>IF(Data!A503="","",IF(ISNUMBER(Data!C503),Data!C503,IFERROR(DATEVALUE(Data!C503),IFERROR(DATEVALUE(SUBSTITUTE(Data!C503,"-"," ")),""))))</f>
        <v/>
      </c>
      <c r="B503" s="2">
        <f>IF(Data!A503="","",IF(ISNUMBER(Data!D503),Data!D503,IFERROR(DATEVALUE(Data!D503),IFERROR(DATEVALUE(SUBSTITUTE(Data!D503,"-"," ")),""))))</f>
        <v/>
      </c>
      <c r="C503">
        <f>IF(Data!A503="","",IF(AND(A503="",B503=""),"Undated",IF(AND(A503&lt;&gt;"",TODAY()&lt;A503),"Upcoming",IF(AND(B503&lt;&gt;"",TODAY()&gt;B503),"Completed","Active"))))</f>
        <v/>
      </c>
    </row>
    <row r="504">
      <c r="A504" s="2">
        <f>IF(Data!A504="","",IF(ISNUMBER(Data!C504),Data!C504,IFERROR(DATEVALUE(Data!C504),IFERROR(DATEVALUE(SUBSTITUTE(Data!C504,"-"," ")),""))))</f>
        <v/>
      </c>
      <c r="B504" s="2">
        <f>IF(Data!A504="","",IF(ISNUMBER(Data!D504),Data!D504,IFERROR(DATEVALUE(Data!D504),IFERROR(DATEVALUE(SUBSTITUTE(Data!D504,"-"," ")),""))))</f>
        <v/>
      </c>
      <c r="C504">
        <f>IF(Data!A504="","",IF(AND(A504="",B504=""),"Undated",IF(AND(A504&lt;&gt;"",TODAY()&lt;A504),"Upcoming",IF(AND(B504&lt;&gt;"",TODAY()&gt;B504),"Completed","Active"))))</f>
        <v/>
      </c>
    </row>
    <row r="505">
      <c r="A505" s="2">
        <f>IF(Data!A505="","",IF(ISNUMBER(Data!C505),Data!C505,IFERROR(DATEVALUE(Data!C505),IFERROR(DATEVALUE(SUBSTITUTE(Data!C505,"-"," ")),""))))</f>
        <v/>
      </c>
      <c r="B505" s="2">
        <f>IF(Data!A505="","",IF(ISNUMBER(Data!D505),Data!D505,IFERROR(DATEVALUE(Data!D505),IFERROR(DATEVALUE(SUBSTITUTE(Data!D505,"-"," ")),""))))</f>
        <v/>
      </c>
      <c r="C505">
        <f>IF(Data!A505="","",IF(AND(A505="",B505=""),"Undated",IF(AND(A505&lt;&gt;"",TODAY()&lt;A505),"Upcoming",IF(AND(B505&lt;&gt;"",TODAY()&gt;B505),"Completed","Active"))))</f>
        <v/>
      </c>
    </row>
    <row r="506">
      <c r="A506" s="2">
        <f>IF(Data!A506="","",IF(ISNUMBER(Data!C506),Data!C506,IFERROR(DATEVALUE(Data!C506),IFERROR(DATEVALUE(SUBSTITUTE(Data!C506,"-"," ")),""))))</f>
        <v/>
      </c>
      <c r="B506" s="2">
        <f>IF(Data!A506="","",IF(ISNUMBER(Data!D506),Data!D506,IFERROR(DATEVALUE(Data!D506),IFERROR(DATEVALUE(SUBSTITUTE(Data!D506,"-"," ")),""))))</f>
        <v/>
      </c>
      <c r="C506">
        <f>IF(Data!A506="","",IF(AND(A506="",B506=""),"Undated",IF(AND(A506&lt;&gt;"",TODAY()&lt;A506),"Upcoming",IF(AND(B506&lt;&gt;"",TODAY()&gt;B506),"Completed","Active"))))</f>
        <v/>
      </c>
    </row>
    <row r="507">
      <c r="A507" s="2">
        <f>IF(Data!A507="","",IF(ISNUMBER(Data!C507),Data!C507,IFERROR(DATEVALUE(Data!C507),IFERROR(DATEVALUE(SUBSTITUTE(Data!C507,"-"," ")),""))))</f>
        <v/>
      </c>
      <c r="B507" s="2">
        <f>IF(Data!A507="","",IF(ISNUMBER(Data!D507),Data!D507,IFERROR(DATEVALUE(Data!D507),IFERROR(DATEVALUE(SUBSTITUTE(Data!D507,"-"," ")),""))))</f>
        <v/>
      </c>
      <c r="C507">
        <f>IF(Data!A507="","",IF(AND(A507="",B507=""),"Undated",IF(AND(A507&lt;&gt;"",TODAY()&lt;A507),"Upcoming",IF(AND(B507&lt;&gt;"",TODAY()&gt;B507),"Completed","Active"))))</f>
        <v/>
      </c>
    </row>
    <row r="508">
      <c r="A508" s="2">
        <f>IF(Data!A508="","",IF(ISNUMBER(Data!C508),Data!C508,IFERROR(DATEVALUE(Data!C508),IFERROR(DATEVALUE(SUBSTITUTE(Data!C508,"-"," ")),""))))</f>
        <v/>
      </c>
      <c r="B508" s="2">
        <f>IF(Data!A508="","",IF(ISNUMBER(Data!D508),Data!D508,IFERROR(DATEVALUE(Data!D508),IFERROR(DATEVALUE(SUBSTITUTE(Data!D508,"-"," ")),""))))</f>
        <v/>
      </c>
      <c r="C508">
        <f>IF(Data!A508="","",IF(AND(A508="",B508=""),"Undated",IF(AND(A508&lt;&gt;"",TODAY()&lt;A508),"Upcoming",IF(AND(B508&lt;&gt;"",TODAY()&gt;B508),"Completed","Active"))))</f>
        <v/>
      </c>
    </row>
    <row r="509">
      <c r="A509" s="2">
        <f>IF(Data!A509="","",IF(ISNUMBER(Data!C509),Data!C509,IFERROR(DATEVALUE(Data!C509),IFERROR(DATEVALUE(SUBSTITUTE(Data!C509,"-"," ")),""))))</f>
        <v/>
      </c>
      <c r="B509" s="2">
        <f>IF(Data!A509="","",IF(ISNUMBER(Data!D509),Data!D509,IFERROR(DATEVALUE(Data!D509),IFERROR(DATEVALUE(SUBSTITUTE(Data!D509,"-"," ")),""))))</f>
        <v/>
      </c>
      <c r="C509">
        <f>IF(Data!A509="","",IF(AND(A509="",B509=""),"Undated",IF(AND(A509&lt;&gt;"",TODAY()&lt;A509),"Upcoming",IF(AND(B509&lt;&gt;"",TODAY()&gt;B509),"Completed","Active"))))</f>
        <v/>
      </c>
    </row>
    <row r="510">
      <c r="A510" s="2">
        <f>IF(Data!A510="","",IF(ISNUMBER(Data!C510),Data!C510,IFERROR(DATEVALUE(Data!C510),IFERROR(DATEVALUE(SUBSTITUTE(Data!C510,"-"," ")),""))))</f>
        <v/>
      </c>
      <c r="B510" s="2">
        <f>IF(Data!A510="","",IF(ISNUMBER(Data!D510),Data!D510,IFERROR(DATEVALUE(Data!D510),IFERROR(DATEVALUE(SUBSTITUTE(Data!D510,"-"," ")),""))))</f>
        <v/>
      </c>
      <c r="C510">
        <f>IF(Data!A510="","",IF(AND(A510="",B510=""),"Undated",IF(AND(A510&lt;&gt;"",TODAY()&lt;A510),"Upcoming",IF(AND(B510&lt;&gt;"",TODAY()&gt;B510),"Completed","Active"))))</f>
        <v/>
      </c>
    </row>
    <row r="511">
      <c r="A511" s="2">
        <f>IF(Data!A511="","",IF(ISNUMBER(Data!C511),Data!C511,IFERROR(DATEVALUE(Data!C511),IFERROR(DATEVALUE(SUBSTITUTE(Data!C511,"-"," ")),""))))</f>
        <v/>
      </c>
      <c r="B511" s="2">
        <f>IF(Data!A511="","",IF(ISNUMBER(Data!D511),Data!D511,IFERROR(DATEVALUE(Data!D511),IFERROR(DATEVALUE(SUBSTITUTE(Data!D511,"-"," ")),""))))</f>
        <v/>
      </c>
      <c r="C511">
        <f>IF(Data!A511="","",IF(AND(A511="",B511=""),"Undated",IF(AND(A511&lt;&gt;"",TODAY()&lt;A511),"Upcoming",IF(AND(B511&lt;&gt;"",TODAY()&gt;B511),"Completed","Active"))))</f>
        <v/>
      </c>
    </row>
    <row r="512">
      <c r="A512" s="2">
        <f>IF(Data!A512="","",IF(ISNUMBER(Data!C512),Data!C512,IFERROR(DATEVALUE(Data!C512),IFERROR(DATEVALUE(SUBSTITUTE(Data!C512,"-"," ")),""))))</f>
        <v/>
      </c>
      <c r="B512" s="2">
        <f>IF(Data!A512="","",IF(ISNUMBER(Data!D512),Data!D512,IFERROR(DATEVALUE(Data!D512),IFERROR(DATEVALUE(SUBSTITUTE(Data!D512,"-"," ")),""))))</f>
        <v/>
      </c>
      <c r="C512">
        <f>IF(Data!A512="","",IF(AND(A512="",B512=""),"Undated",IF(AND(A512&lt;&gt;"",TODAY()&lt;A512),"Upcoming",IF(AND(B512&lt;&gt;"",TODAY()&gt;B512),"Completed","Active"))))</f>
        <v/>
      </c>
    </row>
    <row r="513">
      <c r="A513" s="2">
        <f>IF(Data!A513="","",IF(ISNUMBER(Data!C513),Data!C513,IFERROR(DATEVALUE(Data!C513),IFERROR(DATEVALUE(SUBSTITUTE(Data!C513,"-"," ")),""))))</f>
        <v/>
      </c>
      <c r="B513" s="2">
        <f>IF(Data!A513="","",IF(ISNUMBER(Data!D513),Data!D513,IFERROR(DATEVALUE(Data!D513),IFERROR(DATEVALUE(SUBSTITUTE(Data!D513,"-"," ")),""))))</f>
        <v/>
      </c>
      <c r="C513">
        <f>IF(Data!A513="","",IF(AND(A513="",B513=""),"Undated",IF(AND(A513&lt;&gt;"",TODAY()&lt;A513),"Upcoming",IF(AND(B513&lt;&gt;"",TODAY()&gt;B513),"Completed","Active"))))</f>
        <v/>
      </c>
    </row>
    <row r="514">
      <c r="A514" s="2">
        <f>IF(Data!A514="","",IF(ISNUMBER(Data!C514),Data!C514,IFERROR(DATEVALUE(Data!C514),IFERROR(DATEVALUE(SUBSTITUTE(Data!C514,"-"," ")),""))))</f>
        <v/>
      </c>
      <c r="B514" s="2">
        <f>IF(Data!A514="","",IF(ISNUMBER(Data!D514),Data!D514,IFERROR(DATEVALUE(Data!D514),IFERROR(DATEVALUE(SUBSTITUTE(Data!D514,"-"," ")),""))))</f>
        <v/>
      </c>
      <c r="C514">
        <f>IF(Data!A514="","",IF(AND(A514="",B514=""),"Undated",IF(AND(A514&lt;&gt;"",TODAY()&lt;A514),"Upcoming",IF(AND(B514&lt;&gt;"",TODAY()&gt;B514),"Completed","Active"))))</f>
        <v/>
      </c>
    </row>
    <row r="515">
      <c r="A515" s="2">
        <f>IF(Data!A515="","",IF(ISNUMBER(Data!C515),Data!C515,IFERROR(DATEVALUE(Data!C515),IFERROR(DATEVALUE(SUBSTITUTE(Data!C515,"-"," ")),""))))</f>
        <v/>
      </c>
      <c r="B515" s="2">
        <f>IF(Data!A515="","",IF(ISNUMBER(Data!D515),Data!D515,IFERROR(DATEVALUE(Data!D515),IFERROR(DATEVALUE(SUBSTITUTE(Data!D515,"-"," ")),""))))</f>
        <v/>
      </c>
      <c r="C515">
        <f>IF(Data!A515="","",IF(AND(A515="",B515=""),"Undated",IF(AND(A515&lt;&gt;"",TODAY()&lt;A515),"Upcoming",IF(AND(B515&lt;&gt;"",TODAY()&gt;B515),"Completed","Active"))))</f>
        <v/>
      </c>
    </row>
    <row r="516">
      <c r="A516" s="2">
        <f>IF(Data!A516="","",IF(ISNUMBER(Data!C516),Data!C516,IFERROR(DATEVALUE(Data!C516),IFERROR(DATEVALUE(SUBSTITUTE(Data!C516,"-"," ")),""))))</f>
        <v/>
      </c>
      <c r="B516" s="2">
        <f>IF(Data!A516="","",IF(ISNUMBER(Data!D516),Data!D516,IFERROR(DATEVALUE(Data!D516),IFERROR(DATEVALUE(SUBSTITUTE(Data!D516,"-"," ")),""))))</f>
        <v/>
      </c>
      <c r="C516">
        <f>IF(Data!A516="","",IF(AND(A516="",B516=""),"Undated",IF(AND(A516&lt;&gt;"",TODAY()&lt;A516),"Upcoming",IF(AND(B516&lt;&gt;"",TODAY()&gt;B516),"Completed","Active"))))</f>
        <v/>
      </c>
    </row>
    <row r="517">
      <c r="A517" s="2">
        <f>IF(Data!A517="","",IF(ISNUMBER(Data!C517),Data!C517,IFERROR(DATEVALUE(Data!C517),IFERROR(DATEVALUE(SUBSTITUTE(Data!C517,"-"," ")),""))))</f>
        <v/>
      </c>
      <c r="B517" s="2">
        <f>IF(Data!A517="","",IF(ISNUMBER(Data!D517),Data!D517,IFERROR(DATEVALUE(Data!D517),IFERROR(DATEVALUE(SUBSTITUTE(Data!D517,"-"," ")),""))))</f>
        <v/>
      </c>
      <c r="C517">
        <f>IF(Data!A517="","",IF(AND(A517="",B517=""),"Undated",IF(AND(A517&lt;&gt;"",TODAY()&lt;A517),"Upcoming",IF(AND(B517&lt;&gt;"",TODAY()&gt;B517),"Completed","Active"))))</f>
        <v/>
      </c>
    </row>
    <row r="518">
      <c r="A518" s="2">
        <f>IF(Data!A518="","",IF(ISNUMBER(Data!C518),Data!C518,IFERROR(DATEVALUE(Data!C518),IFERROR(DATEVALUE(SUBSTITUTE(Data!C518,"-"," ")),""))))</f>
        <v/>
      </c>
      <c r="B518" s="2">
        <f>IF(Data!A518="","",IF(ISNUMBER(Data!D518),Data!D518,IFERROR(DATEVALUE(Data!D518),IFERROR(DATEVALUE(SUBSTITUTE(Data!D518,"-"," ")),""))))</f>
        <v/>
      </c>
      <c r="C518">
        <f>IF(Data!A518="","",IF(AND(A518="",B518=""),"Undated",IF(AND(A518&lt;&gt;"",TODAY()&lt;A518),"Upcoming",IF(AND(B518&lt;&gt;"",TODAY()&gt;B518),"Completed","Active"))))</f>
        <v/>
      </c>
    </row>
    <row r="519">
      <c r="A519" s="2">
        <f>IF(Data!A519="","",IF(ISNUMBER(Data!C519),Data!C519,IFERROR(DATEVALUE(Data!C519),IFERROR(DATEVALUE(SUBSTITUTE(Data!C519,"-"," ")),""))))</f>
        <v/>
      </c>
      <c r="B519" s="2">
        <f>IF(Data!A519="","",IF(ISNUMBER(Data!D519),Data!D519,IFERROR(DATEVALUE(Data!D519),IFERROR(DATEVALUE(SUBSTITUTE(Data!D519,"-"," ")),""))))</f>
        <v/>
      </c>
      <c r="C519">
        <f>IF(Data!A519="","",IF(AND(A519="",B519=""),"Undated",IF(AND(A519&lt;&gt;"",TODAY()&lt;A519),"Upcoming",IF(AND(B519&lt;&gt;"",TODAY()&gt;B519),"Completed","Active"))))</f>
        <v/>
      </c>
    </row>
    <row r="520">
      <c r="A520" s="2">
        <f>IF(Data!A520="","",IF(ISNUMBER(Data!C520),Data!C520,IFERROR(DATEVALUE(Data!C520),IFERROR(DATEVALUE(SUBSTITUTE(Data!C520,"-"," ")),""))))</f>
        <v/>
      </c>
      <c r="B520" s="2">
        <f>IF(Data!A520="","",IF(ISNUMBER(Data!D520),Data!D520,IFERROR(DATEVALUE(Data!D520),IFERROR(DATEVALUE(SUBSTITUTE(Data!D520,"-"," ")),""))))</f>
        <v/>
      </c>
      <c r="C520">
        <f>IF(Data!A520="","",IF(AND(A520="",B520=""),"Undated",IF(AND(A520&lt;&gt;"",TODAY()&lt;A520),"Upcoming",IF(AND(B520&lt;&gt;"",TODAY()&gt;B520),"Completed","Active"))))</f>
        <v/>
      </c>
    </row>
    <row r="521">
      <c r="A521" s="2">
        <f>IF(Data!A521="","",IF(ISNUMBER(Data!C521),Data!C521,IFERROR(DATEVALUE(Data!C521),IFERROR(DATEVALUE(SUBSTITUTE(Data!C521,"-"," ")),""))))</f>
        <v/>
      </c>
      <c r="B521" s="2">
        <f>IF(Data!A521="","",IF(ISNUMBER(Data!D521),Data!D521,IFERROR(DATEVALUE(Data!D521),IFERROR(DATEVALUE(SUBSTITUTE(Data!D521,"-"," ")),""))))</f>
        <v/>
      </c>
      <c r="C521">
        <f>IF(Data!A521="","",IF(AND(A521="",B521=""),"Undated",IF(AND(A521&lt;&gt;"",TODAY()&lt;A521),"Upcoming",IF(AND(B521&lt;&gt;"",TODAY()&gt;B521),"Completed","Active"))))</f>
        <v/>
      </c>
    </row>
    <row r="522">
      <c r="A522" s="2">
        <f>IF(Data!A522="","",IF(ISNUMBER(Data!C522),Data!C522,IFERROR(DATEVALUE(Data!C522),IFERROR(DATEVALUE(SUBSTITUTE(Data!C522,"-"," ")),""))))</f>
        <v/>
      </c>
      <c r="B522" s="2">
        <f>IF(Data!A522="","",IF(ISNUMBER(Data!D522),Data!D522,IFERROR(DATEVALUE(Data!D522),IFERROR(DATEVALUE(SUBSTITUTE(Data!D522,"-"," ")),""))))</f>
        <v/>
      </c>
      <c r="C522">
        <f>IF(Data!A522="","",IF(AND(A522="",B522=""),"Undated",IF(AND(A522&lt;&gt;"",TODAY()&lt;A522),"Upcoming",IF(AND(B522&lt;&gt;"",TODAY()&gt;B522),"Completed","Active"))))</f>
        <v/>
      </c>
    </row>
    <row r="523">
      <c r="A523" s="2">
        <f>IF(Data!A523="","",IF(ISNUMBER(Data!C523),Data!C523,IFERROR(DATEVALUE(Data!C523),IFERROR(DATEVALUE(SUBSTITUTE(Data!C523,"-"," ")),""))))</f>
        <v/>
      </c>
      <c r="B523" s="2">
        <f>IF(Data!A523="","",IF(ISNUMBER(Data!D523),Data!D523,IFERROR(DATEVALUE(Data!D523),IFERROR(DATEVALUE(SUBSTITUTE(Data!D523,"-"," ")),""))))</f>
        <v/>
      </c>
      <c r="C523">
        <f>IF(Data!A523="","",IF(AND(A523="",B523=""),"Undated",IF(AND(A523&lt;&gt;"",TODAY()&lt;A523),"Upcoming",IF(AND(B523&lt;&gt;"",TODAY()&gt;B523),"Completed","Active"))))</f>
        <v/>
      </c>
    </row>
    <row r="524">
      <c r="A524" s="2">
        <f>IF(Data!A524="","",IF(ISNUMBER(Data!C524),Data!C524,IFERROR(DATEVALUE(Data!C524),IFERROR(DATEVALUE(SUBSTITUTE(Data!C524,"-"," ")),""))))</f>
        <v/>
      </c>
      <c r="B524" s="2">
        <f>IF(Data!A524="","",IF(ISNUMBER(Data!D524),Data!D524,IFERROR(DATEVALUE(Data!D524),IFERROR(DATEVALUE(SUBSTITUTE(Data!D524,"-"," ")),""))))</f>
        <v/>
      </c>
      <c r="C524">
        <f>IF(Data!A524="","",IF(AND(A524="",B524=""),"Undated",IF(AND(A524&lt;&gt;"",TODAY()&lt;A524),"Upcoming",IF(AND(B524&lt;&gt;"",TODAY()&gt;B524),"Completed","Active"))))</f>
        <v/>
      </c>
    </row>
    <row r="525">
      <c r="A525" s="2">
        <f>IF(Data!A525="","",IF(ISNUMBER(Data!C525),Data!C525,IFERROR(DATEVALUE(Data!C525),IFERROR(DATEVALUE(SUBSTITUTE(Data!C525,"-"," ")),""))))</f>
        <v/>
      </c>
      <c r="B525" s="2">
        <f>IF(Data!A525="","",IF(ISNUMBER(Data!D525),Data!D525,IFERROR(DATEVALUE(Data!D525),IFERROR(DATEVALUE(SUBSTITUTE(Data!D525,"-"," ")),""))))</f>
        <v/>
      </c>
      <c r="C525">
        <f>IF(Data!A525="","",IF(AND(A525="",B525=""),"Undated",IF(AND(A525&lt;&gt;"",TODAY()&lt;A525),"Upcoming",IF(AND(B525&lt;&gt;"",TODAY()&gt;B525),"Completed","Active"))))</f>
        <v/>
      </c>
    </row>
    <row r="526">
      <c r="A526" s="2">
        <f>IF(Data!A526="","",IF(ISNUMBER(Data!C526),Data!C526,IFERROR(DATEVALUE(Data!C526),IFERROR(DATEVALUE(SUBSTITUTE(Data!C526,"-"," ")),""))))</f>
        <v/>
      </c>
      <c r="B526" s="2">
        <f>IF(Data!A526="","",IF(ISNUMBER(Data!D526),Data!D526,IFERROR(DATEVALUE(Data!D526),IFERROR(DATEVALUE(SUBSTITUTE(Data!D526,"-"," ")),""))))</f>
        <v/>
      </c>
      <c r="C526">
        <f>IF(Data!A526="","",IF(AND(A526="",B526=""),"Undated",IF(AND(A526&lt;&gt;"",TODAY()&lt;A526),"Upcoming",IF(AND(B526&lt;&gt;"",TODAY()&gt;B526),"Completed","Active"))))</f>
        <v/>
      </c>
    </row>
    <row r="527">
      <c r="A527" s="2">
        <f>IF(Data!A527="","",IF(ISNUMBER(Data!C527),Data!C527,IFERROR(DATEVALUE(Data!C527),IFERROR(DATEVALUE(SUBSTITUTE(Data!C527,"-"," ")),""))))</f>
        <v/>
      </c>
      <c r="B527" s="2">
        <f>IF(Data!A527="","",IF(ISNUMBER(Data!D527),Data!D527,IFERROR(DATEVALUE(Data!D527),IFERROR(DATEVALUE(SUBSTITUTE(Data!D527,"-"," ")),""))))</f>
        <v/>
      </c>
      <c r="C527">
        <f>IF(Data!A527="","",IF(AND(A527="",B527=""),"Undated",IF(AND(A527&lt;&gt;"",TODAY()&lt;A527),"Upcoming",IF(AND(B527&lt;&gt;"",TODAY()&gt;B527),"Completed","Active"))))</f>
        <v/>
      </c>
    </row>
    <row r="528">
      <c r="A528" s="2">
        <f>IF(Data!A528="","",IF(ISNUMBER(Data!C528),Data!C528,IFERROR(DATEVALUE(Data!C528),IFERROR(DATEVALUE(SUBSTITUTE(Data!C528,"-"," ")),""))))</f>
        <v/>
      </c>
      <c r="B528" s="2">
        <f>IF(Data!A528="","",IF(ISNUMBER(Data!D528),Data!D528,IFERROR(DATEVALUE(Data!D528),IFERROR(DATEVALUE(SUBSTITUTE(Data!D528,"-"," ")),""))))</f>
        <v/>
      </c>
      <c r="C528">
        <f>IF(Data!A528="","",IF(AND(A528="",B528=""),"Undated",IF(AND(A528&lt;&gt;"",TODAY()&lt;A528),"Upcoming",IF(AND(B528&lt;&gt;"",TODAY()&gt;B528),"Completed","Active"))))</f>
        <v/>
      </c>
    </row>
    <row r="529">
      <c r="A529" s="2">
        <f>IF(Data!A529="","",IF(ISNUMBER(Data!C529),Data!C529,IFERROR(DATEVALUE(Data!C529),IFERROR(DATEVALUE(SUBSTITUTE(Data!C529,"-"," ")),""))))</f>
        <v/>
      </c>
      <c r="B529" s="2">
        <f>IF(Data!A529="","",IF(ISNUMBER(Data!D529),Data!D529,IFERROR(DATEVALUE(Data!D529),IFERROR(DATEVALUE(SUBSTITUTE(Data!D529,"-"," ")),""))))</f>
        <v/>
      </c>
      <c r="C529">
        <f>IF(Data!A529="","",IF(AND(A529="",B529=""),"Undated",IF(AND(A529&lt;&gt;"",TODAY()&lt;A529),"Upcoming",IF(AND(B529&lt;&gt;"",TODAY()&gt;B529),"Completed","Active"))))</f>
        <v/>
      </c>
    </row>
    <row r="530">
      <c r="A530" s="2">
        <f>IF(Data!A530="","",IF(ISNUMBER(Data!C530),Data!C530,IFERROR(DATEVALUE(Data!C530),IFERROR(DATEVALUE(SUBSTITUTE(Data!C530,"-"," ")),""))))</f>
        <v/>
      </c>
      <c r="B530" s="2">
        <f>IF(Data!A530="","",IF(ISNUMBER(Data!D530),Data!D530,IFERROR(DATEVALUE(Data!D530),IFERROR(DATEVALUE(SUBSTITUTE(Data!D530,"-"," ")),""))))</f>
        <v/>
      </c>
      <c r="C530">
        <f>IF(Data!A530="","",IF(AND(A530="",B530=""),"Undated",IF(AND(A530&lt;&gt;"",TODAY()&lt;A530),"Upcoming",IF(AND(B530&lt;&gt;"",TODAY()&gt;B530),"Completed","Active"))))</f>
        <v/>
      </c>
    </row>
    <row r="531">
      <c r="A531" s="2">
        <f>IF(Data!A531="","",IF(ISNUMBER(Data!C531),Data!C531,IFERROR(DATEVALUE(Data!C531),IFERROR(DATEVALUE(SUBSTITUTE(Data!C531,"-"," ")),""))))</f>
        <v/>
      </c>
      <c r="B531" s="2">
        <f>IF(Data!A531="","",IF(ISNUMBER(Data!D531),Data!D531,IFERROR(DATEVALUE(Data!D531),IFERROR(DATEVALUE(SUBSTITUTE(Data!D531,"-"," ")),""))))</f>
        <v/>
      </c>
      <c r="C531">
        <f>IF(Data!A531="","",IF(AND(A531="",B531=""),"Undated",IF(AND(A531&lt;&gt;"",TODAY()&lt;A531),"Upcoming",IF(AND(B531&lt;&gt;"",TODAY()&gt;B531),"Completed","Active"))))</f>
        <v/>
      </c>
    </row>
    <row r="532">
      <c r="A532" s="2">
        <f>IF(Data!A532="","",IF(ISNUMBER(Data!C532),Data!C532,IFERROR(DATEVALUE(Data!C532),IFERROR(DATEVALUE(SUBSTITUTE(Data!C532,"-"," ")),""))))</f>
        <v/>
      </c>
      <c r="B532" s="2">
        <f>IF(Data!A532="","",IF(ISNUMBER(Data!D532),Data!D532,IFERROR(DATEVALUE(Data!D532),IFERROR(DATEVALUE(SUBSTITUTE(Data!D532,"-"," ")),""))))</f>
        <v/>
      </c>
      <c r="C532">
        <f>IF(Data!A532="","",IF(AND(A532="",B532=""),"Undated",IF(AND(A532&lt;&gt;"",TODAY()&lt;A532),"Upcoming",IF(AND(B532&lt;&gt;"",TODAY()&gt;B532),"Completed","Active"))))</f>
        <v/>
      </c>
    </row>
    <row r="533">
      <c r="A533" s="2">
        <f>IF(Data!A533="","",IF(ISNUMBER(Data!C533),Data!C533,IFERROR(DATEVALUE(Data!C533),IFERROR(DATEVALUE(SUBSTITUTE(Data!C533,"-"," ")),""))))</f>
        <v/>
      </c>
      <c r="B533" s="2">
        <f>IF(Data!A533="","",IF(ISNUMBER(Data!D533),Data!D533,IFERROR(DATEVALUE(Data!D533),IFERROR(DATEVALUE(SUBSTITUTE(Data!D533,"-"," ")),""))))</f>
        <v/>
      </c>
      <c r="C533">
        <f>IF(Data!A533="","",IF(AND(A533="",B533=""),"Undated",IF(AND(A533&lt;&gt;"",TODAY()&lt;A533),"Upcoming",IF(AND(B533&lt;&gt;"",TODAY()&gt;B533),"Completed","Active"))))</f>
        <v/>
      </c>
    </row>
    <row r="534">
      <c r="A534" s="2">
        <f>IF(Data!A534="","",IF(ISNUMBER(Data!C534),Data!C534,IFERROR(DATEVALUE(Data!C534),IFERROR(DATEVALUE(SUBSTITUTE(Data!C534,"-"," ")),""))))</f>
        <v/>
      </c>
      <c r="B534" s="2">
        <f>IF(Data!A534="","",IF(ISNUMBER(Data!D534),Data!D534,IFERROR(DATEVALUE(Data!D534),IFERROR(DATEVALUE(SUBSTITUTE(Data!D534,"-"," ")),""))))</f>
        <v/>
      </c>
      <c r="C534">
        <f>IF(Data!A534="","",IF(AND(A534="",B534=""),"Undated",IF(AND(A534&lt;&gt;"",TODAY()&lt;A534),"Upcoming",IF(AND(B534&lt;&gt;"",TODAY()&gt;B534),"Completed","Active"))))</f>
        <v/>
      </c>
    </row>
    <row r="535">
      <c r="A535" s="2">
        <f>IF(Data!A535="","",IF(ISNUMBER(Data!C535),Data!C535,IFERROR(DATEVALUE(Data!C535),IFERROR(DATEVALUE(SUBSTITUTE(Data!C535,"-"," ")),""))))</f>
        <v/>
      </c>
      <c r="B535" s="2">
        <f>IF(Data!A535="","",IF(ISNUMBER(Data!D535),Data!D535,IFERROR(DATEVALUE(Data!D535),IFERROR(DATEVALUE(SUBSTITUTE(Data!D535,"-"," ")),""))))</f>
        <v/>
      </c>
      <c r="C535">
        <f>IF(Data!A535="","",IF(AND(A535="",B535=""),"Undated",IF(AND(A535&lt;&gt;"",TODAY()&lt;A535),"Upcoming",IF(AND(B535&lt;&gt;"",TODAY()&gt;B535),"Completed","Active"))))</f>
        <v/>
      </c>
    </row>
    <row r="536">
      <c r="A536" s="2">
        <f>IF(Data!A536="","",IF(ISNUMBER(Data!C536),Data!C536,IFERROR(DATEVALUE(Data!C536),IFERROR(DATEVALUE(SUBSTITUTE(Data!C536,"-"," ")),""))))</f>
        <v/>
      </c>
      <c r="B536" s="2">
        <f>IF(Data!A536="","",IF(ISNUMBER(Data!D536),Data!D536,IFERROR(DATEVALUE(Data!D536),IFERROR(DATEVALUE(SUBSTITUTE(Data!D536,"-"," ")),""))))</f>
        <v/>
      </c>
      <c r="C536">
        <f>IF(Data!A536="","",IF(AND(A536="",B536=""),"Undated",IF(AND(A536&lt;&gt;"",TODAY()&lt;A536),"Upcoming",IF(AND(B536&lt;&gt;"",TODAY()&gt;B536),"Completed","Active"))))</f>
        <v/>
      </c>
    </row>
    <row r="537">
      <c r="A537" s="2">
        <f>IF(Data!A537="","",IF(ISNUMBER(Data!C537),Data!C537,IFERROR(DATEVALUE(Data!C537),IFERROR(DATEVALUE(SUBSTITUTE(Data!C537,"-"," ")),""))))</f>
        <v/>
      </c>
      <c r="B537" s="2">
        <f>IF(Data!A537="","",IF(ISNUMBER(Data!D537),Data!D537,IFERROR(DATEVALUE(Data!D537),IFERROR(DATEVALUE(SUBSTITUTE(Data!D537,"-"," ")),""))))</f>
        <v/>
      </c>
      <c r="C537">
        <f>IF(Data!A537="","",IF(AND(A537="",B537=""),"Undated",IF(AND(A537&lt;&gt;"",TODAY()&lt;A537),"Upcoming",IF(AND(B537&lt;&gt;"",TODAY()&gt;B537),"Completed","Active"))))</f>
        <v/>
      </c>
    </row>
    <row r="538">
      <c r="A538" s="2">
        <f>IF(Data!A538="","",IF(ISNUMBER(Data!C538),Data!C538,IFERROR(DATEVALUE(Data!C538),IFERROR(DATEVALUE(SUBSTITUTE(Data!C538,"-"," ")),""))))</f>
        <v/>
      </c>
      <c r="B538" s="2">
        <f>IF(Data!A538="","",IF(ISNUMBER(Data!D538),Data!D538,IFERROR(DATEVALUE(Data!D538),IFERROR(DATEVALUE(SUBSTITUTE(Data!D538,"-"," ")),""))))</f>
        <v/>
      </c>
      <c r="C538">
        <f>IF(Data!A538="","",IF(AND(A538="",B538=""),"Undated",IF(AND(A538&lt;&gt;"",TODAY()&lt;A538),"Upcoming",IF(AND(B538&lt;&gt;"",TODAY()&gt;B538),"Completed","Active"))))</f>
        <v/>
      </c>
    </row>
    <row r="539">
      <c r="A539" s="2">
        <f>IF(Data!A539="","",IF(ISNUMBER(Data!C539),Data!C539,IFERROR(DATEVALUE(Data!C539),IFERROR(DATEVALUE(SUBSTITUTE(Data!C539,"-"," ")),""))))</f>
        <v/>
      </c>
      <c r="B539" s="2">
        <f>IF(Data!A539="","",IF(ISNUMBER(Data!D539),Data!D539,IFERROR(DATEVALUE(Data!D539),IFERROR(DATEVALUE(SUBSTITUTE(Data!D539,"-"," ")),""))))</f>
        <v/>
      </c>
      <c r="C539">
        <f>IF(Data!A539="","",IF(AND(A539="",B539=""),"Undated",IF(AND(A539&lt;&gt;"",TODAY()&lt;A539),"Upcoming",IF(AND(B539&lt;&gt;"",TODAY()&gt;B539),"Completed","Active"))))</f>
        <v/>
      </c>
    </row>
    <row r="540">
      <c r="A540" s="2">
        <f>IF(Data!A540="","",IF(ISNUMBER(Data!C540),Data!C540,IFERROR(DATEVALUE(Data!C540),IFERROR(DATEVALUE(SUBSTITUTE(Data!C540,"-"," ")),""))))</f>
        <v/>
      </c>
      <c r="B540" s="2">
        <f>IF(Data!A540="","",IF(ISNUMBER(Data!D540),Data!D540,IFERROR(DATEVALUE(Data!D540),IFERROR(DATEVALUE(SUBSTITUTE(Data!D540,"-"," ")),""))))</f>
        <v/>
      </c>
      <c r="C540">
        <f>IF(Data!A540="","",IF(AND(A540="",B540=""),"Undated",IF(AND(A540&lt;&gt;"",TODAY()&lt;A540),"Upcoming",IF(AND(B540&lt;&gt;"",TODAY()&gt;B540),"Completed","Active"))))</f>
        <v/>
      </c>
    </row>
    <row r="541">
      <c r="A541" s="2">
        <f>IF(Data!A541="","",IF(ISNUMBER(Data!C541),Data!C541,IFERROR(DATEVALUE(Data!C541),IFERROR(DATEVALUE(SUBSTITUTE(Data!C541,"-"," ")),""))))</f>
        <v/>
      </c>
      <c r="B541" s="2">
        <f>IF(Data!A541="","",IF(ISNUMBER(Data!D541),Data!D541,IFERROR(DATEVALUE(Data!D541),IFERROR(DATEVALUE(SUBSTITUTE(Data!D541,"-"," ")),""))))</f>
        <v/>
      </c>
      <c r="C541">
        <f>IF(Data!A541="","",IF(AND(A541="",B541=""),"Undated",IF(AND(A541&lt;&gt;"",TODAY()&lt;A541),"Upcoming",IF(AND(B541&lt;&gt;"",TODAY()&gt;B541),"Completed","Active"))))</f>
        <v/>
      </c>
    </row>
    <row r="542">
      <c r="A542" s="2">
        <f>IF(Data!A542="","",IF(ISNUMBER(Data!C542),Data!C542,IFERROR(DATEVALUE(Data!C542),IFERROR(DATEVALUE(SUBSTITUTE(Data!C542,"-"," ")),""))))</f>
        <v/>
      </c>
      <c r="B542" s="2">
        <f>IF(Data!A542="","",IF(ISNUMBER(Data!D542),Data!D542,IFERROR(DATEVALUE(Data!D542),IFERROR(DATEVALUE(SUBSTITUTE(Data!D542,"-"," ")),""))))</f>
        <v/>
      </c>
      <c r="C542">
        <f>IF(Data!A542="","",IF(AND(A542="",B542=""),"Undated",IF(AND(A542&lt;&gt;"",TODAY()&lt;A542),"Upcoming",IF(AND(B542&lt;&gt;"",TODAY()&gt;B542),"Completed","Active"))))</f>
        <v/>
      </c>
    </row>
    <row r="543">
      <c r="A543" s="2">
        <f>IF(Data!A543="","",IF(ISNUMBER(Data!C543),Data!C543,IFERROR(DATEVALUE(Data!C543),IFERROR(DATEVALUE(SUBSTITUTE(Data!C543,"-"," ")),""))))</f>
        <v/>
      </c>
      <c r="B543" s="2">
        <f>IF(Data!A543="","",IF(ISNUMBER(Data!D543),Data!D543,IFERROR(DATEVALUE(Data!D543),IFERROR(DATEVALUE(SUBSTITUTE(Data!D543,"-"," ")),""))))</f>
        <v/>
      </c>
      <c r="C543">
        <f>IF(Data!A543="","",IF(AND(A543="",B543=""),"Undated",IF(AND(A543&lt;&gt;"",TODAY()&lt;A543),"Upcoming",IF(AND(B543&lt;&gt;"",TODAY()&gt;B543),"Completed","Active"))))</f>
        <v/>
      </c>
    </row>
    <row r="544">
      <c r="A544" s="2">
        <f>IF(Data!A544="","",IF(ISNUMBER(Data!C544),Data!C544,IFERROR(DATEVALUE(Data!C544),IFERROR(DATEVALUE(SUBSTITUTE(Data!C544,"-"," ")),""))))</f>
        <v/>
      </c>
      <c r="B544" s="2">
        <f>IF(Data!A544="","",IF(ISNUMBER(Data!D544),Data!D544,IFERROR(DATEVALUE(Data!D544),IFERROR(DATEVALUE(SUBSTITUTE(Data!D544,"-"," ")),""))))</f>
        <v/>
      </c>
      <c r="C544">
        <f>IF(Data!A544="","",IF(AND(A544="",B544=""),"Undated",IF(AND(A544&lt;&gt;"",TODAY()&lt;A544),"Upcoming",IF(AND(B544&lt;&gt;"",TODAY()&gt;B544),"Completed","Active"))))</f>
        <v/>
      </c>
    </row>
    <row r="545">
      <c r="A545" s="2">
        <f>IF(Data!A545="","",IF(ISNUMBER(Data!C545),Data!C545,IFERROR(DATEVALUE(Data!C545),IFERROR(DATEVALUE(SUBSTITUTE(Data!C545,"-"," ")),""))))</f>
        <v/>
      </c>
      <c r="B545" s="2">
        <f>IF(Data!A545="","",IF(ISNUMBER(Data!D545),Data!D545,IFERROR(DATEVALUE(Data!D545),IFERROR(DATEVALUE(SUBSTITUTE(Data!D545,"-"," ")),""))))</f>
        <v/>
      </c>
      <c r="C545">
        <f>IF(Data!A545="","",IF(AND(A545="",B545=""),"Undated",IF(AND(A545&lt;&gt;"",TODAY()&lt;A545),"Upcoming",IF(AND(B545&lt;&gt;"",TODAY()&gt;B545),"Completed","Active"))))</f>
        <v/>
      </c>
    </row>
    <row r="546">
      <c r="A546" s="2">
        <f>IF(Data!A546="","",IF(ISNUMBER(Data!C546),Data!C546,IFERROR(DATEVALUE(Data!C546),IFERROR(DATEVALUE(SUBSTITUTE(Data!C546,"-"," ")),""))))</f>
        <v/>
      </c>
      <c r="B546" s="2">
        <f>IF(Data!A546="","",IF(ISNUMBER(Data!D546),Data!D546,IFERROR(DATEVALUE(Data!D546),IFERROR(DATEVALUE(SUBSTITUTE(Data!D546,"-"," ")),""))))</f>
        <v/>
      </c>
      <c r="C546">
        <f>IF(Data!A546="","",IF(AND(A546="",B546=""),"Undated",IF(AND(A546&lt;&gt;"",TODAY()&lt;A546),"Upcoming",IF(AND(B546&lt;&gt;"",TODAY()&gt;B546),"Completed","Active"))))</f>
        <v/>
      </c>
    </row>
    <row r="547">
      <c r="A547" s="2">
        <f>IF(Data!A547="","",IF(ISNUMBER(Data!C547),Data!C547,IFERROR(DATEVALUE(Data!C547),IFERROR(DATEVALUE(SUBSTITUTE(Data!C547,"-"," ")),""))))</f>
        <v/>
      </c>
      <c r="B547" s="2">
        <f>IF(Data!A547="","",IF(ISNUMBER(Data!D547),Data!D547,IFERROR(DATEVALUE(Data!D547),IFERROR(DATEVALUE(SUBSTITUTE(Data!D547,"-"," ")),""))))</f>
        <v/>
      </c>
      <c r="C547">
        <f>IF(Data!A547="","",IF(AND(A547="",B547=""),"Undated",IF(AND(A547&lt;&gt;"",TODAY()&lt;A547),"Upcoming",IF(AND(B547&lt;&gt;"",TODAY()&gt;B547),"Completed","Active"))))</f>
        <v/>
      </c>
    </row>
    <row r="548">
      <c r="A548" s="2">
        <f>IF(Data!A548="","",IF(ISNUMBER(Data!C548),Data!C548,IFERROR(DATEVALUE(Data!C548),IFERROR(DATEVALUE(SUBSTITUTE(Data!C548,"-"," ")),""))))</f>
        <v/>
      </c>
      <c r="B548" s="2">
        <f>IF(Data!A548="","",IF(ISNUMBER(Data!D548),Data!D548,IFERROR(DATEVALUE(Data!D548),IFERROR(DATEVALUE(SUBSTITUTE(Data!D548,"-"," ")),""))))</f>
        <v/>
      </c>
      <c r="C548">
        <f>IF(Data!A548="","",IF(AND(A548="",B548=""),"Undated",IF(AND(A548&lt;&gt;"",TODAY()&lt;A548),"Upcoming",IF(AND(B548&lt;&gt;"",TODAY()&gt;B548),"Completed","Active"))))</f>
        <v/>
      </c>
    </row>
    <row r="549">
      <c r="A549" s="2">
        <f>IF(Data!A549="","",IF(ISNUMBER(Data!C549),Data!C549,IFERROR(DATEVALUE(Data!C549),IFERROR(DATEVALUE(SUBSTITUTE(Data!C549,"-"," ")),""))))</f>
        <v/>
      </c>
      <c r="B549" s="2">
        <f>IF(Data!A549="","",IF(ISNUMBER(Data!D549),Data!D549,IFERROR(DATEVALUE(Data!D549),IFERROR(DATEVALUE(SUBSTITUTE(Data!D549,"-"," ")),""))))</f>
        <v/>
      </c>
      <c r="C549">
        <f>IF(Data!A549="","",IF(AND(A549="",B549=""),"Undated",IF(AND(A549&lt;&gt;"",TODAY()&lt;A549),"Upcoming",IF(AND(B549&lt;&gt;"",TODAY()&gt;B549),"Completed","Active"))))</f>
        <v/>
      </c>
    </row>
    <row r="550">
      <c r="A550" s="2">
        <f>IF(Data!A550="","",IF(ISNUMBER(Data!C550),Data!C550,IFERROR(DATEVALUE(Data!C550),IFERROR(DATEVALUE(SUBSTITUTE(Data!C550,"-"," ")),""))))</f>
        <v/>
      </c>
      <c r="B550" s="2">
        <f>IF(Data!A550="","",IF(ISNUMBER(Data!D550),Data!D550,IFERROR(DATEVALUE(Data!D550),IFERROR(DATEVALUE(SUBSTITUTE(Data!D550,"-"," ")),""))))</f>
        <v/>
      </c>
      <c r="C550">
        <f>IF(Data!A550="","",IF(AND(A550="",B550=""),"Undated",IF(AND(A550&lt;&gt;"",TODAY()&lt;A550),"Upcoming",IF(AND(B550&lt;&gt;"",TODAY()&gt;B550),"Completed","Active"))))</f>
        <v/>
      </c>
    </row>
    <row r="551">
      <c r="A551" s="2">
        <f>IF(Data!A551="","",IF(ISNUMBER(Data!C551),Data!C551,IFERROR(DATEVALUE(Data!C551),IFERROR(DATEVALUE(SUBSTITUTE(Data!C551,"-"," ")),""))))</f>
        <v/>
      </c>
      <c r="B551" s="2">
        <f>IF(Data!A551="","",IF(ISNUMBER(Data!D551),Data!D551,IFERROR(DATEVALUE(Data!D551),IFERROR(DATEVALUE(SUBSTITUTE(Data!D551,"-"," ")),""))))</f>
        <v/>
      </c>
      <c r="C551">
        <f>IF(Data!A551="","",IF(AND(A551="",B551=""),"Undated",IF(AND(A551&lt;&gt;"",TODAY()&lt;A551),"Upcoming",IF(AND(B551&lt;&gt;"",TODAY()&gt;B551),"Completed","Active"))))</f>
        <v/>
      </c>
    </row>
    <row r="552">
      <c r="A552" s="2">
        <f>IF(Data!A552="","",IF(ISNUMBER(Data!C552),Data!C552,IFERROR(DATEVALUE(Data!C552),IFERROR(DATEVALUE(SUBSTITUTE(Data!C552,"-"," ")),""))))</f>
        <v/>
      </c>
      <c r="B552" s="2">
        <f>IF(Data!A552="","",IF(ISNUMBER(Data!D552),Data!D552,IFERROR(DATEVALUE(Data!D552),IFERROR(DATEVALUE(SUBSTITUTE(Data!D552,"-"," ")),""))))</f>
        <v/>
      </c>
      <c r="C552">
        <f>IF(Data!A552="","",IF(AND(A552="",B552=""),"Undated",IF(AND(A552&lt;&gt;"",TODAY()&lt;A552),"Upcoming",IF(AND(B552&lt;&gt;"",TODAY()&gt;B552),"Completed","Active"))))</f>
        <v/>
      </c>
    </row>
    <row r="553">
      <c r="A553" s="2">
        <f>IF(Data!A553="","",IF(ISNUMBER(Data!C553),Data!C553,IFERROR(DATEVALUE(Data!C553),IFERROR(DATEVALUE(SUBSTITUTE(Data!C553,"-"," ")),""))))</f>
        <v/>
      </c>
      <c r="B553" s="2">
        <f>IF(Data!A553="","",IF(ISNUMBER(Data!D553),Data!D553,IFERROR(DATEVALUE(Data!D553),IFERROR(DATEVALUE(SUBSTITUTE(Data!D553,"-"," ")),""))))</f>
        <v/>
      </c>
      <c r="C553">
        <f>IF(Data!A553="","",IF(AND(A553="",B553=""),"Undated",IF(AND(A553&lt;&gt;"",TODAY()&lt;A553),"Upcoming",IF(AND(B553&lt;&gt;"",TODAY()&gt;B553),"Completed","Active"))))</f>
        <v/>
      </c>
    </row>
    <row r="554">
      <c r="A554" s="2">
        <f>IF(Data!A554="","",IF(ISNUMBER(Data!C554),Data!C554,IFERROR(DATEVALUE(Data!C554),IFERROR(DATEVALUE(SUBSTITUTE(Data!C554,"-"," ")),""))))</f>
        <v/>
      </c>
      <c r="B554" s="2">
        <f>IF(Data!A554="","",IF(ISNUMBER(Data!D554),Data!D554,IFERROR(DATEVALUE(Data!D554),IFERROR(DATEVALUE(SUBSTITUTE(Data!D554,"-"," ")),""))))</f>
        <v/>
      </c>
      <c r="C554">
        <f>IF(Data!A554="","",IF(AND(A554="",B554=""),"Undated",IF(AND(A554&lt;&gt;"",TODAY()&lt;A554),"Upcoming",IF(AND(B554&lt;&gt;"",TODAY()&gt;B554),"Completed","Active"))))</f>
        <v/>
      </c>
    </row>
    <row r="555">
      <c r="A555" s="2">
        <f>IF(Data!A555="","",IF(ISNUMBER(Data!C555),Data!C555,IFERROR(DATEVALUE(Data!C555),IFERROR(DATEVALUE(SUBSTITUTE(Data!C555,"-"," ")),""))))</f>
        <v/>
      </c>
      <c r="B555" s="2">
        <f>IF(Data!A555="","",IF(ISNUMBER(Data!D555),Data!D555,IFERROR(DATEVALUE(Data!D555),IFERROR(DATEVALUE(SUBSTITUTE(Data!D555,"-"," ")),""))))</f>
        <v/>
      </c>
      <c r="C555">
        <f>IF(Data!A555="","",IF(AND(A555="",B555=""),"Undated",IF(AND(A555&lt;&gt;"",TODAY()&lt;A555),"Upcoming",IF(AND(B555&lt;&gt;"",TODAY()&gt;B555),"Completed","Active"))))</f>
        <v/>
      </c>
    </row>
    <row r="556">
      <c r="A556" s="2">
        <f>IF(Data!A556="","",IF(ISNUMBER(Data!C556),Data!C556,IFERROR(DATEVALUE(Data!C556),IFERROR(DATEVALUE(SUBSTITUTE(Data!C556,"-"," ")),""))))</f>
        <v/>
      </c>
      <c r="B556" s="2">
        <f>IF(Data!A556="","",IF(ISNUMBER(Data!D556),Data!D556,IFERROR(DATEVALUE(Data!D556),IFERROR(DATEVALUE(SUBSTITUTE(Data!D556,"-"," ")),""))))</f>
        <v/>
      </c>
      <c r="C556">
        <f>IF(Data!A556="","",IF(AND(A556="",B556=""),"Undated",IF(AND(A556&lt;&gt;"",TODAY()&lt;A556),"Upcoming",IF(AND(B556&lt;&gt;"",TODAY()&gt;B556),"Completed","Active"))))</f>
        <v/>
      </c>
    </row>
    <row r="557">
      <c r="A557" s="2">
        <f>IF(Data!A557="","",IF(ISNUMBER(Data!C557),Data!C557,IFERROR(DATEVALUE(Data!C557),IFERROR(DATEVALUE(SUBSTITUTE(Data!C557,"-"," ")),""))))</f>
        <v/>
      </c>
      <c r="B557" s="2">
        <f>IF(Data!A557="","",IF(ISNUMBER(Data!D557),Data!D557,IFERROR(DATEVALUE(Data!D557),IFERROR(DATEVALUE(SUBSTITUTE(Data!D557,"-"," ")),""))))</f>
        <v/>
      </c>
      <c r="C557">
        <f>IF(Data!A557="","",IF(AND(A557="",B557=""),"Undated",IF(AND(A557&lt;&gt;"",TODAY()&lt;A557),"Upcoming",IF(AND(B557&lt;&gt;"",TODAY()&gt;B557),"Completed","Active"))))</f>
        <v/>
      </c>
    </row>
    <row r="558">
      <c r="A558" s="2">
        <f>IF(Data!A558="","",IF(ISNUMBER(Data!C558),Data!C558,IFERROR(DATEVALUE(Data!C558),IFERROR(DATEVALUE(SUBSTITUTE(Data!C558,"-"," ")),""))))</f>
        <v/>
      </c>
      <c r="B558" s="2">
        <f>IF(Data!A558="","",IF(ISNUMBER(Data!D558),Data!D558,IFERROR(DATEVALUE(Data!D558),IFERROR(DATEVALUE(SUBSTITUTE(Data!D558,"-"," ")),""))))</f>
        <v/>
      </c>
      <c r="C558">
        <f>IF(Data!A558="","",IF(AND(A558="",B558=""),"Undated",IF(AND(A558&lt;&gt;"",TODAY()&lt;A558),"Upcoming",IF(AND(B558&lt;&gt;"",TODAY()&gt;B558),"Completed","Active"))))</f>
        <v/>
      </c>
    </row>
    <row r="559">
      <c r="A559" s="2">
        <f>IF(Data!A559="","",IF(ISNUMBER(Data!C559),Data!C559,IFERROR(DATEVALUE(Data!C559),IFERROR(DATEVALUE(SUBSTITUTE(Data!C559,"-"," ")),""))))</f>
        <v/>
      </c>
      <c r="B559" s="2">
        <f>IF(Data!A559="","",IF(ISNUMBER(Data!D559),Data!D559,IFERROR(DATEVALUE(Data!D559),IFERROR(DATEVALUE(SUBSTITUTE(Data!D559,"-"," ")),""))))</f>
        <v/>
      </c>
      <c r="C559">
        <f>IF(Data!A559="","",IF(AND(A559="",B559=""),"Undated",IF(AND(A559&lt;&gt;"",TODAY()&lt;A559),"Upcoming",IF(AND(B559&lt;&gt;"",TODAY()&gt;B559),"Completed","Active"))))</f>
        <v/>
      </c>
    </row>
    <row r="560">
      <c r="A560" s="2">
        <f>IF(Data!A560="","",IF(ISNUMBER(Data!C560),Data!C560,IFERROR(DATEVALUE(Data!C560),IFERROR(DATEVALUE(SUBSTITUTE(Data!C560,"-"," ")),""))))</f>
        <v/>
      </c>
      <c r="B560" s="2">
        <f>IF(Data!A560="","",IF(ISNUMBER(Data!D560),Data!D560,IFERROR(DATEVALUE(Data!D560),IFERROR(DATEVALUE(SUBSTITUTE(Data!D560,"-"," ")),""))))</f>
        <v/>
      </c>
      <c r="C560">
        <f>IF(Data!A560="","",IF(AND(A560="",B560=""),"Undated",IF(AND(A560&lt;&gt;"",TODAY()&lt;A560),"Upcoming",IF(AND(B560&lt;&gt;"",TODAY()&gt;B560),"Completed","Active"))))</f>
        <v/>
      </c>
    </row>
    <row r="561">
      <c r="A561" s="2">
        <f>IF(Data!A561="","",IF(ISNUMBER(Data!C561),Data!C561,IFERROR(DATEVALUE(Data!C561),IFERROR(DATEVALUE(SUBSTITUTE(Data!C561,"-"," ")),""))))</f>
        <v/>
      </c>
      <c r="B561" s="2">
        <f>IF(Data!A561="","",IF(ISNUMBER(Data!D561),Data!D561,IFERROR(DATEVALUE(Data!D561),IFERROR(DATEVALUE(SUBSTITUTE(Data!D561,"-"," ")),""))))</f>
        <v/>
      </c>
      <c r="C561">
        <f>IF(Data!A561="","",IF(AND(A561="",B561=""),"Undated",IF(AND(A561&lt;&gt;"",TODAY()&lt;A561),"Upcoming",IF(AND(B561&lt;&gt;"",TODAY()&gt;B561),"Completed","Active"))))</f>
        <v/>
      </c>
    </row>
    <row r="562">
      <c r="A562" s="2">
        <f>IF(Data!A562="","",IF(ISNUMBER(Data!C562),Data!C562,IFERROR(DATEVALUE(Data!C562),IFERROR(DATEVALUE(SUBSTITUTE(Data!C562,"-"," ")),""))))</f>
        <v/>
      </c>
      <c r="B562" s="2">
        <f>IF(Data!A562="","",IF(ISNUMBER(Data!D562),Data!D562,IFERROR(DATEVALUE(Data!D562),IFERROR(DATEVALUE(SUBSTITUTE(Data!D562,"-"," ")),""))))</f>
        <v/>
      </c>
      <c r="C562">
        <f>IF(Data!A562="","",IF(AND(A562="",B562=""),"Undated",IF(AND(A562&lt;&gt;"",TODAY()&lt;A562),"Upcoming",IF(AND(B562&lt;&gt;"",TODAY()&gt;B562),"Completed","Active"))))</f>
        <v/>
      </c>
    </row>
    <row r="563">
      <c r="A563" s="2">
        <f>IF(Data!A563="","",IF(ISNUMBER(Data!C563),Data!C563,IFERROR(DATEVALUE(Data!C563),IFERROR(DATEVALUE(SUBSTITUTE(Data!C563,"-"," ")),""))))</f>
        <v/>
      </c>
      <c r="B563" s="2">
        <f>IF(Data!A563="","",IF(ISNUMBER(Data!D563),Data!D563,IFERROR(DATEVALUE(Data!D563),IFERROR(DATEVALUE(SUBSTITUTE(Data!D563,"-"," ")),""))))</f>
        <v/>
      </c>
      <c r="C563">
        <f>IF(Data!A563="","",IF(AND(A563="",B563=""),"Undated",IF(AND(A563&lt;&gt;"",TODAY()&lt;A563),"Upcoming",IF(AND(B563&lt;&gt;"",TODAY()&gt;B563),"Completed","Active"))))</f>
        <v/>
      </c>
    </row>
    <row r="564">
      <c r="A564" s="2">
        <f>IF(Data!A564="","",IF(ISNUMBER(Data!C564),Data!C564,IFERROR(DATEVALUE(Data!C564),IFERROR(DATEVALUE(SUBSTITUTE(Data!C564,"-"," ")),""))))</f>
        <v/>
      </c>
      <c r="B564" s="2">
        <f>IF(Data!A564="","",IF(ISNUMBER(Data!D564),Data!D564,IFERROR(DATEVALUE(Data!D564),IFERROR(DATEVALUE(SUBSTITUTE(Data!D564,"-"," ")),""))))</f>
        <v/>
      </c>
      <c r="C564">
        <f>IF(Data!A564="","",IF(AND(A564="",B564=""),"Undated",IF(AND(A564&lt;&gt;"",TODAY()&lt;A564),"Upcoming",IF(AND(B564&lt;&gt;"",TODAY()&gt;B564),"Completed","Active"))))</f>
        <v/>
      </c>
    </row>
    <row r="565">
      <c r="A565" s="2">
        <f>IF(Data!A565="","",IF(ISNUMBER(Data!C565),Data!C565,IFERROR(DATEVALUE(Data!C565),IFERROR(DATEVALUE(SUBSTITUTE(Data!C565,"-"," ")),""))))</f>
        <v/>
      </c>
      <c r="B565" s="2">
        <f>IF(Data!A565="","",IF(ISNUMBER(Data!D565),Data!D565,IFERROR(DATEVALUE(Data!D565),IFERROR(DATEVALUE(SUBSTITUTE(Data!D565,"-"," ")),""))))</f>
        <v/>
      </c>
      <c r="C565">
        <f>IF(Data!A565="","",IF(AND(A565="",B565=""),"Undated",IF(AND(A565&lt;&gt;"",TODAY()&lt;A565),"Upcoming",IF(AND(B565&lt;&gt;"",TODAY()&gt;B565),"Completed","Active"))))</f>
        <v/>
      </c>
    </row>
    <row r="566">
      <c r="A566" s="2">
        <f>IF(Data!A566="","",IF(ISNUMBER(Data!C566),Data!C566,IFERROR(DATEVALUE(Data!C566),IFERROR(DATEVALUE(SUBSTITUTE(Data!C566,"-"," ")),""))))</f>
        <v/>
      </c>
      <c r="B566" s="2">
        <f>IF(Data!A566="","",IF(ISNUMBER(Data!D566),Data!D566,IFERROR(DATEVALUE(Data!D566),IFERROR(DATEVALUE(SUBSTITUTE(Data!D566,"-"," ")),""))))</f>
        <v/>
      </c>
      <c r="C566">
        <f>IF(Data!A566="","",IF(AND(A566="",B566=""),"Undated",IF(AND(A566&lt;&gt;"",TODAY()&lt;A566),"Upcoming",IF(AND(B566&lt;&gt;"",TODAY()&gt;B566),"Completed","Active"))))</f>
        <v/>
      </c>
    </row>
    <row r="567">
      <c r="A567" s="2">
        <f>IF(Data!A567="","",IF(ISNUMBER(Data!C567),Data!C567,IFERROR(DATEVALUE(Data!C567),IFERROR(DATEVALUE(SUBSTITUTE(Data!C567,"-"," ")),""))))</f>
        <v/>
      </c>
      <c r="B567" s="2">
        <f>IF(Data!A567="","",IF(ISNUMBER(Data!D567),Data!D567,IFERROR(DATEVALUE(Data!D567),IFERROR(DATEVALUE(SUBSTITUTE(Data!D567,"-"," ")),""))))</f>
        <v/>
      </c>
      <c r="C567">
        <f>IF(Data!A567="","",IF(AND(A567="",B567=""),"Undated",IF(AND(A567&lt;&gt;"",TODAY()&lt;A567),"Upcoming",IF(AND(B567&lt;&gt;"",TODAY()&gt;B567),"Completed","Active"))))</f>
        <v/>
      </c>
    </row>
    <row r="568">
      <c r="A568" s="2">
        <f>IF(Data!A568="","",IF(ISNUMBER(Data!C568),Data!C568,IFERROR(DATEVALUE(Data!C568),IFERROR(DATEVALUE(SUBSTITUTE(Data!C568,"-"," ")),""))))</f>
        <v/>
      </c>
      <c r="B568" s="2">
        <f>IF(Data!A568="","",IF(ISNUMBER(Data!D568),Data!D568,IFERROR(DATEVALUE(Data!D568),IFERROR(DATEVALUE(SUBSTITUTE(Data!D568,"-"," ")),""))))</f>
        <v/>
      </c>
      <c r="C568">
        <f>IF(Data!A568="","",IF(AND(A568="",B568=""),"Undated",IF(AND(A568&lt;&gt;"",TODAY()&lt;A568),"Upcoming",IF(AND(B568&lt;&gt;"",TODAY()&gt;B568),"Completed","Active"))))</f>
        <v/>
      </c>
    </row>
    <row r="569">
      <c r="A569" s="2">
        <f>IF(Data!A569="","",IF(ISNUMBER(Data!C569),Data!C569,IFERROR(DATEVALUE(Data!C569),IFERROR(DATEVALUE(SUBSTITUTE(Data!C569,"-"," ")),""))))</f>
        <v/>
      </c>
      <c r="B569" s="2">
        <f>IF(Data!A569="","",IF(ISNUMBER(Data!D569),Data!D569,IFERROR(DATEVALUE(Data!D569),IFERROR(DATEVALUE(SUBSTITUTE(Data!D569,"-"," ")),""))))</f>
        <v/>
      </c>
      <c r="C569">
        <f>IF(Data!A569="","",IF(AND(A569="",B569=""),"Undated",IF(AND(A569&lt;&gt;"",TODAY()&lt;A569),"Upcoming",IF(AND(B569&lt;&gt;"",TODAY()&gt;B569),"Completed","Active"))))</f>
        <v/>
      </c>
    </row>
    <row r="570">
      <c r="A570" s="2">
        <f>IF(Data!A570="","",IF(ISNUMBER(Data!C570),Data!C570,IFERROR(DATEVALUE(Data!C570),IFERROR(DATEVALUE(SUBSTITUTE(Data!C570,"-"," ")),""))))</f>
        <v/>
      </c>
      <c r="B570" s="2">
        <f>IF(Data!A570="","",IF(ISNUMBER(Data!D570),Data!D570,IFERROR(DATEVALUE(Data!D570),IFERROR(DATEVALUE(SUBSTITUTE(Data!D570,"-"," ")),""))))</f>
        <v/>
      </c>
      <c r="C570">
        <f>IF(Data!A570="","",IF(AND(A570="",B570=""),"Undated",IF(AND(A570&lt;&gt;"",TODAY()&lt;A570),"Upcoming",IF(AND(B570&lt;&gt;"",TODAY()&gt;B570),"Completed","Active"))))</f>
        <v/>
      </c>
    </row>
    <row r="571">
      <c r="A571" s="2">
        <f>IF(Data!A571="","",IF(ISNUMBER(Data!C571),Data!C571,IFERROR(DATEVALUE(Data!C571),IFERROR(DATEVALUE(SUBSTITUTE(Data!C571,"-"," ")),""))))</f>
        <v/>
      </c>
      <c r="B571" s="2">
        <f>IF(Data!A571="","",IF(ISNUMBER(Data!D571),Data!D571,IFERROR(DATEVALUE(Data!D571),IFERROR(DATEVALUE(SUBSTITUTE(Data!D571,"-"," ")),""))))</f>
        <v/>
      </c>
      <c r="C571">
        <f>IF(Data!A571="","",IF(AND(A571="",B571=""),"Undated",IF(AND(A571&lt;&gt;"",TODAY()&lt;A571),"Upcoming",IF(AND(B571&lt;&gt;"",TODAY()&gt;B571),"Completed","Active"))))</f>
        <v/>
      </c>
    </row>
    <row r="572">
      <c r="A572" s="2">
        <f>IF(Data!A572="","",IF(ISNUMBER(Data!C572),Data!C572,IFERROR(DATEVALUE(Data!C572),IFERROR(DATEVALUE(SUBSTITUTE(Data!C572,"-"," ")),""))))</f>
        <v/>
      </c>
      <c r="B572" s="2">
        <f>IF(Data!A572="","",IF(ISNUMBER(Data!D572),Data!D572,IFERROR(DATEVALUE(Data!D572),IFERROR(DATEVALUE(SUBSTITUTE(Data!D572,"-"," ")),""))))</f>
        <v/>
      </c>
      <c r="C572">
        <f>IF(Data!A572="","",IF(AND(A572="",B572=""),"Undated",IF(AND(A572&lt;&gt;"",TODAY()&lt;A572),"Upcoming",IF(AND(B572&lt;&gt;"",TODAY()&gt;B572),"Completed","Active"))))</f>
        <v/>
      </c>
    </row>
    <row r="573">
      <c r="A573" s="2">
        <f>IF(Data!A573="","",IF(ISNUMBER(Data!C573),Data!C573,IFERROR(DATEVALUE(Data!C573),IFERROR(DATEVALUE(SUBSTITUTE(Data!C573,"-"," ")),""))))</f>
        <v/>
      </c>
      <c r="B573" s="2">
        <f>IF(Data!A573="","",IF(ISNUMBER(Data!D573),Data!D573,IFERROR(DATEVALUE(Data!D573),IFERROR(DATEVALUE(SUBSTITUTE(Data!D573,"-"," ")),""))))</f>
        <v/>
      </c>
      <c r="C573">
        <f>IF(Data!A573="","",IF(AND(A573="",B573=""),"Undated",IF(AND(A573&lt;&gt;"",TODAY()&lt;A573),"Upcoming",IF(AND(B573&lt;&gt;"",TODAY()&gt;B573),"Completed","Active"))))</f>
        <v/>
      </c>
    </row>
    <row r="574">
      <c r="A574" s="2">
        <f>IF(Data!A574="","",IF(ISNUMBER(Data!C574),Data!C574,IFERROR(DATEVALUE(Data!C574),IFERROR(DATEVALUE(SUBSTITUTE(Data!C574,"-"," ")),""))))</f>
        <v/>
      </c>
      <c r="B574" s="2">
        <f>IF(Data!A574="","",IF(ISNUMBER(Data!D574),Data!D574,IFERROR(DATEVALUE(Data!D574),IFERROR(DATEVALUE(SUBSTITUTE(Data!D574,"-"," ")),""))))</f>
        <v/>
      </c>
      <c r="C574">
        <f>IF(Data!A574="","",IF(AND(A574="",B574=""),"Undated",IF(AND(A574&lt;&gt;"",TODAY()&lt;A574),"Upcoming",IF(AND(B574&lt;&gt;"",TODAY()&gt;B574),"Completed","Active"))))</f>
        <v/>
      </c>
    </row>
    <row r="575">
      <c r="A575" s="2">
        <f>IF(Data!A575="","",IF(ISNUMBER(Data!C575),Data!C575,IFERROR(DATEVALUE(Data!C575),IFERROR(DATEVALUE(SUBSTITUTE(Data!C575,"-"," ")),""))))</f>
        <v/>
      </c>
      <c r="B575" s="2">
        <f>IF(Data!A575="","",IF(ISNUMBER(Data!D575),Data!D575,IFERROR(DATEVALUE(Data!D575),IFERROR(DATEVALUE(SUBSTITUTE(Data!D575,"-"," ")),""))))</f>
        <v/>
      </c>
      <c r="C575">
        <f>IF(Data!A575="","",IF(AND(A575="",B575=""),"Undated",IF(AND(A575&lt;&gt;"",TODAY()&lt;A575),"Upcoming",IF(AND(B575&lt;&gt;"",TODAY()&gt;B575),"Completed","Active"))))</f>
        <v/>
      </c>
    </row>
    <row r="576">
      <c r="A576" s="2">
        <f>IF(Data!A576="","",IF(ISNUMBER(Data!C576),Data!C576,IFERROR(DATEVALUE(Data!C576),IFERROR(DATEVALUE(SUBSTITUTE(Data!C576,"-"," ")),""))))</f>
        <v/>
      </c>
      <c r="B576" s="2">
        <f>IF(Data!A576="","",IF(ISNUMBER(Data!D576),Data!D576,IFERROR(DATEVALUE(Data!D576),IFERROR(DATEVALUE(SUBSTITUTE(Data!D576,"-"," ")),""))))</f>
        <v/>
      </c>
      <c r="C576">
        <f>IF(Data!A576="","",IF(AND(A576="",B576=""),"Undated",IF(AND(A576&lt;&gt;"",TODAY()&lt;A576),"Upcoming",IF(AND(B576&lt;&gt;"",TODAY()&gt;B576),"Completed","Active"))))</f>
        <v/>
      </c>
    </row>
    <row r="577">
      <c r="A577" s="2">
        <f>IF(Data!A577="","",IF(ISNUMBER(Data!C577),Data!C577,IFERROR(DATEVALUE(Data!C577),IFERROR(DATEVALUE(SUBSTITUTE(Data!C577,"-"," ")),""))))</f>
        <v/>
      </c>
      <c r="B577" s="2">
        <f>IF(Data!A577="","",IF(ISNUMBER(Data!D577),Data!D577,IFERROR(DATEVALUE(Data!D577),IFERROR(DATEVALUE(SUBSTITUTE(Data!D577,"-"," ")),""))))</f>
        <v/>
      </c>
      <c r="C577">
        <f>IF(Data!A577="","",IF(AND(A577="",B577=""),"Undated",IF(AND(A577&lt;&gt;"",TODAY()&lt;A577),"Upcoming",IF(AND(B577&lt;&gt;"",TODAY()&gt;B577),"Completed","Active"))))</f>
        <v/>
      </c>
    </row>
    <row r="578">
      <c r="A578" s="2">
        <f>IF(Data!A578="","",IF(ISNUMBER(Data!C578),Data!C578,IFERROR(DATEVALUE(Data!C578),IFERROR(DATEVALUE(SUBSTITUTE(Data!C578,"-"," ")),""))))</f>
        <v/>
      </c>
      <c r="B578" s="2">
        <f>IF(Data!A578="","",IF(ISNUMBER(Data!D578),Data!D578,IFERROR(DATEVALUE(Data!D578),IFERROR(DATEVALUE(SUBSTITUTE(Data!D578,"-"," ")),""))))</f>
        <v/>
      </c>
      <c r="C578">
        <f>IF(Data!A578="","",IF(AND(A578="",B578=""),"Undated",IF(AND(A578&lt;&gt;"",TODAY()&lt;A578),"Upcoming",IF(AND(B578&lt;&gt;"",TODAY()&gt;B578),"Completed","Active"))))</f>
        <v/>
      </c>
    </row>
    <row r="579">
      <c r="A579" s="2">
        <f>IF(Data!A579="","",IF(ISNUMBER(Data!C579),Data!C579,IFERROR(DATEVALUE(Data!C579),IFERROR(DATEVALUE(SUBSTITUTE(Data!C579,"-"," ")),""))))</f>
        <v/>
      </c>
      <c r="B579" s="2">
        <f>IF(Data!A579="","",IF(ISNUMBER(Data!D579),Data!D579,IFERROR(DATEVALUE(Data!D579),IFERROR(DATEVALUE(SUBSTITUTE(Data!D579,"-"," ")),""))))</f>
        <v/>
      </c>
      <c r="C579">
        <f>IF(Data!A579="","",IF(AND(A579="",B579=""),"Undated",IF(AND(A579&lt;&gt;"",TODAY()&lt;A579),"Upcoming",IF(AND(B579&lt;&gt;"",TODAY()&gt;B579),"Completed","Active"))))</f>
        <v/>
      </c>
    </row>
    <row r="580">
      <c r="A580" s="2">
        <f>IF(Data!A580="","",IF(ISNUMBER(Data!C580),Data!C580,IFERROR(DATEVALUE(Data!C580),IFERROR(DATEVALUE(SUBSTITUTE(Data!C580,"-"," ")),""))))</f>
        <v/>
      </c>
      <c r="B580" s="2">
        <f>IF(Data!A580="","",IF(ISNUMBER(Data!D580),Data!D580,IFERROR(DATEVALUE(Data!D580),IFERROR(DATEVALUE(SUBSTITUTE(Data!D580,"-"," ")),""))))</f>
        <v/>
      </c>
      <c r="C580">
        <f>IF(Data!A580="","",IF(AND(A580="",B580=""),"Undated",IF(AND(A580&lt;&gt;"",TODAY()&lt;A580),"Upcoming",IF(AND(B580&lt;&gt;"",TODAY()&gt;B580),"Completed","Active"))))</f>
        <v/>
      </c>
    </row>
    <row r="581">
      <c r="A581" s="2">
        <f>IF(Data!A581="","",IF(ISNUMBER(Data!C581),Data!C581,IFERROR(DATEVALUE(Data!C581),IFERROR(DATEVALUE(SUBSTITUTE(Data!C581,"-"," ")),""))))</f>
        <v/>
      </c>
      <c r="B581" s="2">
        <f>IF(Data!A581="","",IF(ISNUMBER(Data!D581),Data!D581,IFERROR(DATEVALUE(Data!D581),IFERROR(DATEVALUE(SUBSTITUTE(Data!D581,"-"," ")),""))))</f>
        <v/>
      </c>
      <c r="C581">
        <f>IF(Data!A581="","",IF(AND(A581="",B581=""),"Undated",IF(AND(A581&lt;&gt;"",TODAY()&lt;A581),"Upcoming",IF(AND(B581&lt;&gt;"",TODAY()&gt;B581),"Completed","Active"))))</f>
        <v/>
      </c>
    </row>
    <row r="582">
      <c r="A582" s="2">
        <f>IF(Data!A582="","",IF(ISNUMBER(Data!C582),Data!C582,IFERROR(DATEVALUE(Data!C582),IFERROR(DATEVALUE(SUBSTITUTE(Data!C582,"-"," ")),""))))</f>
        <v/>
      </c>
      <c r="B582" s="2">
        <f>IF(Data!A582="","",IF(ISNUMBER(Data!D582),Data!D582,IFERROR(DATEVALUE(Data!D582),IFERROR(DATEVALUE(SUBSTITUTE(Data!D582,"-"," ")),""))))</f>
        <v/>
      </c>
      <c r="C582">
        <f>IF(Data!A582="","",IF(AND(A582="",B582=""),"Undated",IF(AND(A582&lt;&gt;"",TODAY()&lt;A582),"Upcoming",IF(AND(B582&lt;&gt;"",TODAY()&gt;B582),"Completed","Active"))))</f>
        <v/>
      </c>
    </row>
    <row r="583">
      <c r="A583" s="2">
        <f>IF(Data!A583="","",IF(ISNUMBER(Data!C583),Data!C583,IFERROR(DATEVALUE(Data!C583),IFERROR(DATEVALUE(SUBSTITUTE(Data!C583,"-"," ")),""))))</f>
        <v/>
      </c>
      <c r="B583" s="2">
        <f>IF(Data!A583="","",IF(ISNUMBER(Data!D583),Data!D583,IFERROR(DATEVALUE(Data!D583),IFERROR(DATEVALUE(SUBSTITUTE(Data!D583,"-"," ")),""))))</f>
        <v/>
      </c>
      <c r="C583">
        <f>IF(Data!A583="","",IF(AND(A583="",B583=""),"Undated",IF(AND(A583&lt;&gt;"",TODAY()&lt;A583),"Upcoming",IF(AND(B583&lt;&gt;"",TODAY()&gt;B583),"Completed","Active"))))</f>
        <v/>
      </c>
    </row>
    <row r="584">
      <c r="A584" s="2">
        <f>IF(Data!A584="","",IF(ISNUMBER(Data!C584),Data!C584,IFERROR(DATEVALUE(Data!C584),IFERROR(DATEVALUE(SUBSTITUTE(Data!C584,"-"," ")),""))))</f>
        <v/>
      </c>
      <c r="B584" s="2">
        <f>IF(Data!A584="","",IF(ISNUMBER(Data!D584),Data!D584,IFERROR(DATEVALUE(Data!D584),IFERROR(DATEVALUE(SUBSTITUTE(Data!D584,"-"," ")),""))))</f>
        <v/>
      </c>
      <c r="C584">
        <f>IF(Data!A584="","",IF(AND(A584="",B584=""),"Undated",IF(AND(A584&lt;&gt;"",TODAY()&lt;A584),"Upcoming",IF(AND(B584&lt;&gt;"",TODAY()&gt;B584),"Completed","Active"))))</f>
        <v/>
      </c>
    </row>
    <row r="585">
      <c r="A585" s="2">
        <f>IF(Data!A585="","",IF(ISNUMBER(Data!C585),Data!C585,IFERROR(DATEVALUE(Data!C585),IFERROR(DATEVALUE(SUBSTITUTE(Data!C585,"-"," ")),""))))</f>
        <v/>
      </c>
      <c r="B585" s="2">
        <f>IF(Data!A585="","",IF(ISNUMBER(Data!D585),Data!D585,IFERROR(DATEVALUE(Data!D585),IFERROR(DATEVALUE(SUBSTITUTE(Data!D585,"-"," ")),""))))</f>
        <v/>
      </c>
      <c r="C585">
        <f>IF(Data!A585="","",IF(AND(A585="",B585=""),"Undated",IF(AND(A585&lt;&gt;"",TODAY()&lt;A585),"Upcoming",IF(AND(B585&lt;&gt;"",TODAY()&gt;B585),"Completed","Active"))))</f>
        <v/>
      </c>
    </row>
    <row r="586">
      <c r="A586" s="2">
        <f>IF(Data!A586="","",IF(ISNUMBER(Data!C586),Data!C586,IFERROR(DATEVALUE(Data!C586),IFERROR(DATEVALUE(SUBSTITUTE(Data!C586,"-"," ")),""))))</f>
        <v/>
      </c>
      <c r="B586" s="2">
        <f>IF(Data!A586="","",IF(ISNUMBER(Data!D586),Data!D586,IFERROR(DATEVALUE(Data!D586),IFERROR(DATEVALUE(SUBSTITUTE(Data!D586,"-"," ")),""))))</f>
        <v/>
      </c>
      <c r="C586">
        <f>IF(Data!A586="","",IF(AND(A586="",B586=""),"Undated",IF(AND(A586&lt;&gt;"",TODAY()&lt;A586),"Upcoming",IF(AND(B586&lt;&gt;"",TODAY()&gt;B586),"Completed","Active"))))</f>
        <v/>
      </c>
    </row>
    <row r="587">
      <c r="A587" s="2">
        <f>IF(Data!A587="","",IF(ISNUMBER(Data!C587),Data!C587,IFERROR(DATEVALUE(Data!C587),IFERROR(DATEVALUE(SUBSTITUTE(Data!C587,"-"," ")),""))))</f>
        <v/>
      </c>
      <c r="B587" s="2">
        <f>IF(Data!A587="","",IF(ISNUMBER(Data!D587),Data!D587,IFERROR(DATEVALUE(Data!D587),IFERROR(DATEVALUE(SUBSTITUTE(Data!D587,"-"," ")),""))))</f>
        <v/>
      </c>
      <c r="C587">
        <f>IF(Data!A587="","",IF(AND(A587="",B587=""),"Undated",IF(AND(A587&lt;&gt;"",TODAY()&lt;A587),"Upcoming",IF(AND(B587&lt;&gt;"",TODAY()&gt;B587),"Completed","Active"))))</f>
        <v/>
      </c>
    </row>
    <row r="588">
      <c r="A588" s="2">
        <f>IF(Data!A588="","",IF(ISNUMBER(Data!C588),Data!C588,IFERROR(DATEVALUE(Data!C588),IFERROR(DATEVALUE(SUBSTITUTE(Data!C588,"-"," ")),""))))</f>
        <v/>
      </c>
      <c r="B588" s="2">
        <f>IF(Data!A588="","",IF(ISNUMBER(Data!D588),Data!D588,IFERROR(DATEVALUE(Data!D588),IFERROR(DATEVALUE(SUBSTITUTE(Data!D588,"-"," ")),""))))</f>
        <v/>
      </c>
      <c r="C588">
        <f>IF(Data!A588="","",IF(AND(A588="",B588=""),"Undated",IF(AND(A588&lt;&gt;"",TODAY()&lt;A588),"Upcoming",IF(AND(B588&lt;&gt;"",TODAY()&gt;B588),"Completed","Active"))))</f>
        <v/>
      </c>
    </row>
    <row r="589">
      <c r="A589" s="2">
        <f>IF(Data!A589="","",IF(ISNUMBER(Data!C589),Data!C589,IFERROR(DATEVALUE(Data!C589),IFERROR(DATEVALUE(SUBSTITUTE(Data!C589,"-"," ")),""))))</f>
        <v/>
      </c>
      <c r="B589" s="2">
        <f>IF(Data!A589="","",IF(ISNUMBER(Data!D589),Data!D589,IFERROR(DATEVALUE(Data!D589),IFERROR(DATEVALUE(SUBSTITUTE(Data!D589,"-"," ")),""))))</f>
        <v/>
      </c>
      <c r="C589">
        <f>IF(Data!A589="","",IF(AND(A589="",B589=""),"Undated",IF(AND(A589&lt;&gt;"",TODAY()&lt;A589),"Upcoming",IF(AND(B589&lt;&gt;"",TODAY()&gt;B589),"Completed","Active"))))</f>
        <v/>
      </c>
    </row>
    <row r="590">
      <c r="A590" s="2">
        <f>IF(Data!A590="","",IF(ISNUMBER(Data!C590),Data!C590,IFERROR(DATEVALUE(Data!C590),IFERROR(DATEVALUE(SUBSTITUTE(Data!C590,"-"," ")),""))))</f>
        <v/>
      </c>
      <c r="B590" s="2">
        <f>IF(Data!A590="","",IF(ISNUMBER(Data!D590),Data!D590,IFERROR(DATEVALUE(Data!D590),IFERROR(DATEVALUE(SUBSTITUTE(Data!D590,"-"," ")),""))))</f>
        <v/>
      </c>
      <c r="C590">
        <f>IF(Data!A590="","",IF(AND(A590="",B590=""),"Undated",IF(AND(A590&lt;&gt;"",TODAY()&lt;A590),"Upcoming",IF(AND(B590&lt;&gt;"",TODAY()&gt;B590),"Completed","Active"))))</f>
        <v/>
      </c>
    </row>
    <row r="591">
      <c r="A591" s="2">
        <f>IF(Data!A591="","",IF(ISNUMBER(Data!C591),Data!C591,IFERROR(DATEVALUE(Data!C591),IFERROR(DATEVALUE(SUBSTITUTE(Data!C591,"-"," ")),""))))</f>
        <v/>
      </c>
      <c r="B591" s="2">
        <f>IF(Data!A591="","",IF(ISNUMBER(Data!D591),Data!D591,IFERROR(DATEVALUE(Data!D591),IFERROR(DATEVALUE(SUBSTITUTE(Data!D591,"-"," ")),""))))</f>
        <v/>
      </c>
      <c r="C591">
        <f>IF(Data!A591="","",IF(AND(A591="",B591=""),"Undated",IF(AND(A591&lt;&gt;"",TODAY()&lt;A591),"Upcoming",IF(AND(B591&lt;&gt;"",TODAY()&gt;B591),"Completed","Active"))))</f>
        <v/>
      </c>
    </row>
    <row r="592">
      <c r="A592" s="2">
        <f>IF(Data!A592="","",IF(ISNUMBER(Data!C592),Data!C592,IFERROR(DATEVALUE(Data!C592),IFERROR(DATEVALUE(SUBSTITUTE(Data!C592,"-"," ")),""))))</f>
        <v/>
      </c>
      <c r="B592" s="2">
        <f>IF(Data!A592="","",IF(ISNUMBER(Data!D592),Data!D592,IFERROR(DATEVALUE(Data!D592),IFERROR(DATEVALUE(SUBSTITUTE(Data!D592,"-"," ")),""))))</f>
        <v/>
      </c>
      <c r="C592">
        <f>IF(Data!A592="","",IF(AND(A592="",B592=""),"Undated",IF(AND(A592&lt;&gt;"",TODAY()&lt;A592),"Upcoming",IF(AND(B592&lt;&gt;"",TODAY()&gt;B592),"Completed","Active"))))</f>
        <v/>
      </c>
    </row>
    <row r="593">
      <c r="A593" s="2">
        <f>IF(Data!A593="","",IF(ISNUMBER(Data!C593),Data!C593,IFERROR(DATEVALUE(Data!C593),IFERROR(DATEVALUE(SUBSTITUTE(Data!C593,"-"," ")),""))))</f>
        <v/>
      </c>
      <c r="B593" s="2">
        <f>IF(Data!A593="","",IF(ISNUMBER(Data!D593),Data!D593,IFERROR(DATEVALUE(Data!D593),IFERROR(DATEVALUE(SUBSTITUTE(Data!D593,"-"," ")),""))))</f>
        <v/>
      </c>
      <c r="C593">
        <f>IF(Data!A593="","",IF(AND(A593="",B593=""),"Undated",IF(AND(A593&lt;&gt;"",TODAY()&lt;A593),"Upcoming",IF(AND(B593&lt;&gt;"",TODAY()&gt;B593),"Completed","Active"))))</f>
        <v/>
      </c>
    </row>
    <row r="594">
      <c r="A594" s="2">
        <f>IF(Data!A594="","",IF(ISNUMBER(Data!C594),Data!C594,IFERROR(DATEVALUE(Data!C594),IFERROR(DATEVALUE(SUBSTITUTE(Data!C594,"-"," ")),""))))</f>
        <v/>
      </c>
      <c r="B594" s="2">
        <f>IF(Data!A594="","",IF(ISNUMBER(Data!D594),Data!D594,IFERROR(DATEVALUE(Data!D594),IFERROR(DATEVALUE(SUBSTITUTE(Data!D594,"-"," ")),""))))</f>
        <v/>
      </c>
      <c r="C594">
        <f>IF(Data!A594="","",IF(AND(A594="",B594=""),"Undated",IF(AND(A594&lt;&gt;"",TODAY()&lt;A594),"Upcoming",IF(AND(B594&lt;&gt;"",TODAY()&gt;B594),"Completed","Active"))))</f>
        <v/>
      </c>
    </row>
    <row r="595">
      <c r="A595" s="2">
        <f>IF(Data!A595="","",IF(ISNUMBER(Data!C595),Data!C595,IFERROR(DATEVALUE(Data!C595),IFERROR(DATEVALUE(SUBSTITUTE(Data!C595,"-"," ")),""))))</f>
        <v/>
      </c>
      <c r="B595" s="2">
        <f>IF(Data!A595="","",IF(ISNUMBER(Data!D595),Data!D595,IFERROR(DATEVALUE(Data!D595),IFERROR(DATEVALUE(SUBSTITUTE(Data!D595,"-"," ")),""))))</f>
        <v/>
      </c>
      <c r="C595">
        <f>IF(Data!A595="","",IF(AND(A595="",B595=""),"Undated",IF(AND(A595&lt;&gt;"",TODAY()&lt;A595),"Upcoming",IF(AND(B595&lt;&gt;"",TODAY()&gt;B595),"Completed","Active"))))</f>
        <v/>
      </c>
    </row>
    <row r="596">
      <c r="A596" s="2">
        <f>IF(Data!A596="","",IF(ISNUMBER(Data!C596),Data!C596,IFERROR(DATEVALUE(Data!C596),IFERROR(DATEVALUE(SUBSTITUTE(Data!C596,"-"," ")),""))))</f>
        <v/>
      </c>
      <c r="B596" s="2">
        <f>IF(Data!A596="","",IF(ISNUMBER(Data!D596),Data!D596,IFERROR(DATEVALUE(Data!D596),IFERROR(DATEVALUE(SUBSTITUTE(Data!D596,"-"," ")),""))))</f>
        <v/>
      </c>
      <c r="C596">
        <f>IF(Data!A596="","",IF(AND(A596="",B596=""),"Undated",IF(AND(A596&lt;&gt;"",TODAY()&lt;A596),"Upcoming",IF(AND(B596&lt;&gt;"",TODAY()&gt;B596),"Completed","Active"))))</f>
        <v/>
      </c>
    </row>
    <row r="597">
      <c r="A597" s="2">
        <f>IF(Data!A597="","",IF(ISNUMBER(Data!C597),Data!C597,IFERROR(DATEVALUE(Data!C597),IFERROR(DATEVALUE(SUBSTITUTE(Data!C597,"-"," ")),""))))</f>
        <v/>
      </c>
      <c r="B597" s="2">
        <f>IF(Data!A597="","",IF(ISNUMBER(Data!D597),Data!D597,IFERROR(DATEVALUE(Data!D597),IFERROR(DATEVALUE(SUBSTITUTE(Data!D597,"-"," ")),""))))</f>
        <v/>
      </c>
      <c r="C597">
        <f>IF(Data!A597="","",IF(AND(A597="",B597=""),"Undated",IF(AND(A597&lt;&gt;"",TODAY()&lt;A597),"Upcoming",IF(AND(B597&lt;&gt;"",TODAY()&gt;B597),"Completed","Active"))))</f>
        <v/>
      </c>
    </row>
    <row r="598">
      <c r="A598" s="2">
        <f>IF(Data!A598="","",IF(ISNUMBER(Data!C598),Data!C598,IFERROR(DATEVALUE(Data!C598),IFERROR(DATEVALUE(SUBSTITUTE(Data!C598,"-"," ")),""))))</f>
        <v/>
      </c>
      <c r="B598" s="2">
        <f>IF(Data!A598="","",IF(ISNUMBER(Data!D598),Data!D598,IFERROR(DATEVALUE(Data!D598),IFERROR(DATEVALUE(SUBSTITUTE(Data!D598,"-"," ")),""))))</f>
        <v/>
      </c>
      <c r="C598">
        <f>IF(Data!A598="","",IF(AND(A598="",B598=""),"Undated",IF(AND(A598&lt;&gt;"",TODAY()&lt;A598),"Upcoming",IF(AND(B598&lt;&gt;"",TODAY()&gt;B598),"Completed","Active"))))</f>
        <v/>
      </c>
    </row>
    <row r="599">
      <c r="A599" s="2">
        <f>IF(Data!A599="","",IF(ISNUMBER(Data!C599),Data!C599,IFERROR(DATEVALUE(Data!C599),IFERROR(DATEVALUE(SUBSTITUTE(Data!C599,"-"," ")),""))))</f>
        <v/>
      </c>
      <c r="B599" s="2">
        <f>IF(Data!A599="","",IF(ISNUMBER(Data!D599),Data!D599,IFERROR(DATEVALUE(Data!D599),IFERROR(DATEVALUE(SUBSTITUTE(Data!D599,"-"," ")),""))))</f>
        <v/>
      </c>
      <c r="C599">
        <f>IF(Data!A599="","",IF(AND(A599="",B599=""),"Undated",IF(AND(A599&lt;&gt;"",TODAY()&lt;A599),"Upcoming",IF(AND(B599&lt;&gt;"",TODAY()&gt;B599),"Completed","Active"))))</f>
        <v/>
      </c>
    </row>
    <row r="600">
      <c r="A600" s="2">
        <f>IF(Data!A600="","",IF(ISNUMBER(Data!C600),Data!C600,IFERROR(DATEVALUE(Data!C600),IFERROR(DATEVALUE(SUBSTITUTE(Data!C600,"-"," ")),""))))</f>
        <v/>
      </c>
      <c r="B600" s="2">
        <f>IF(Data!A600="","",IF(ISNUMBER(Data!D600),Data!D600,IFERROR(DATEVALUE(Data!D600),IFERROR(DATEVALUE(SUBSTITUTE(Data!D600,"-"," ")),""))))</f>
        <v/>
      </c>
      <c r="C600">
        <f>IF(Data!A600="","",IF(AND(A600="",B600=""),"Undated",IF(AND(A600&lt;&gt;"",TODAY()&lt;A600),"Upcoming",IF(AND(B600&lt;&gt;"",TODAY()&gt;B600),"Completed","Active"))))</f>
        <v/>
      </c>
    </row>
    <row r="601">
      <c r="A601" s="2">
        <f>IF(Data!A601="","",IF(ISNUMBER(Data!C601),Data!C601,IFERROR(DATEVALUE(Data!C601),IFERROR(DATEVALUE(SUBSTITUTE(Data!C601,"-"," ")),""))))</f>
        <v/>
      </c>
      <c r="B601" s="2">
        <f>IF(Data!A601="","",IF(ISNUMBER(Data!D601),Data!D601,IFERROR(DATEVALUE(Data!D601),IFERROR(DATEVALUE(SUBSTITUTE(Data!D601,"-"," ")),""))))</f>
        <v/>
      </c>
      <c r="C601">
        <f>IF(Data!A601="","",IF(AND(A601="",B601=""),"Undated",IF(AND(A601&lt;&gt;"",TODAY()&lt;A601),"Upcoming",IF(AND(B601&lt;&gt;"",TODAY()&gt;B601),"Completed","Active"))))</f>
        <v/>
      </c>
    </row>
    <row r="602">
      <c r="A602" s="2">
        <f>IF(Data!A602="","",IF(ISNUMBER(Data!C602),Data!C602,IFERROR(DATEVALUE(Data!C602),IFERROR(DATEVALUE(SUBSTITUTE(Data!C602,"-"," ")),""))))</f>
        <v/>
      </c>
      <c r="B602" s="2">
        <f>IF(Data!A602="","",IF(ISNUMBER(Data!D602),Data!D602,IFERROR(DATEVALUE(Data!D602),IFERROR(DATEVALUE(SUBSTITUTE(Data!D602,"-"," ")),""))))</f>
        <v/>
      </c>
      <c r="C602">
        <f>IF(Data!A602="","",IF(AND(A602="",B602=""),"Undated",IF(AND(A602&lt;&gt;"",TODAY()&lt;A602),"Upcoming",IF(AND(B602&lt;&gt;"",TODAY()&gt;B602),"Completed","Active"))))</f>
        <v/>
      </c>
    </row>
    <row r="603">
      <c r="A603" s="2">
        <f>IF(Data!A603="","",IF(ISNUMBER(Data!C603),Data!C603,IFERROR(DATEVALUE(Data!C603),IFERROR(DATEVALUE(SUBSTITUTE(Data!C603,"-"," ")),""))))</f>
        <v/>
      </c>
      <c r="B603" s="2">
        <f>IF(Data!A603="","",IF(ISNUMBER(Data!D603),Data!D603,IFERROR(DATEVALUE(Data!D603),IFERROR(DATEVALUE(SUBSTITUTE(Data!D603,"-"," ")),""))))</f>
        <v/>
      </c>
      <c r="C603">
        <f>IF(Data!A603="","",IF(AND(A603="",B603=""),"Undated",IF(AND(A603&lt;&gt;"",TODAY()&lt;A603),"Upcoming",IF(AND(B603&lt;&gt;"",TODAY()&gt;B603),"Completed","Active"))))</f>
        <v/>
      </c>
    </row>
    <row r="604">
      <c r="A604" s="2">
        <f>IF(Data!A604="","",IF(ISNUMBER(Data!C604),Data!C604,IFERROR(DATEVALUE(Data!C604),IFERROR(DATEVALUE(SUBSTITUTE(Data!C604,"-"," ")),""))))</f>
        <v/>
      </c>
      <c r="B604" s="2">
        <f>IF(Data!A604="","",IF(ISNUMBER(Data!D604),Data!D604,IFERROR(DATEVALUE(Data!D604),IFERROR(DATEVALUE(SUBSTITUTE(Data!D604,"-"," ")),""))))</f>
        <v/>
      </c>
      <c r="C604">
        <f>IF(Data!A604="","",IF(AND(A604="",B604=""),"Undated",IF(AND(A604&lt;&gt;"",TODAY()&lt;A604),"Upcoming",IF(AND(B604&lt;&gt;"",TODAY()&gt;B604),"Completed","Active"))))</f>
        <v/>
      </c>
    </row>
    <row r="605">
      <c r="A605" s="2">
        <f>IF(Data!A605="","",IF(ISNUMBER(Data!C605),Data!C605,IFERROR(DATEVALUE(Data!C605),IFERROR(DATEVALUE(SUBSTITUTE(Data!C605,"-"," ")),""))))</f>
        <v/>
      </c>
      <c r="B605" s="2">
        <f>IF(Data!A605="","",IF(ISNUMBER(Data!D605),Data!D605,IFERROR(DATEVALUE(Data!D605),IFERROR(DATEVALUE(SUBSTITUTE(Data!D605,"-"," ")),""))))</f>
        <v/>
      </c>
      <c r="C605">
        <f>IF(Data!A605="","",IF(AND(A605="",B605=""),"Undated",IF(AND(A605&lt;&gt;"",TODAY()&lt;A605),"Upcoming",IF(AND(B605&lt;&gt;"",TODAY()&gt;B605),"Completed","Active"))))</f>
        <v/>
      </c>
    </row>
    <row r="606">
      <c r="A606" s="2">
        <f>IF(Data!A606="","",IF(ISNUMBER(Data!C606),Data!C606,IFERROR(DATEVALUE(Data!C606),IFERROR(DATEVALUE(SUBSTITUTE(Data!C606,"-"," ")),""))))</f>
        <v/>
      </c>
      <c r="B606" s="2">
        <f>IF(Data!A606="","",IF(ISNUMBER(Data!D606),Data!D606,IFERROR(DATEVALUE(Data!D606),IFERROR(DATEVALUE(SUBSTITUTE(Data!D606,"-"," ")),""))))</f>
        <v/>
      </c>
      <c r="C606">
        <f>IF(Data!A606="","",IF(AND(A606="",B606=""),"Undated",IF(AND(A606&lt;&gt;"",TODAY()&lt;A606),"Upcoming",IF(AND(B606&lt;&gt;"",TODAY()&gt;B606),"Completed","Active"))))</f>
        <v/>
      </c>
    </row>
    <row r="607">
      <c r="A607" s="2">
        <f>IF(Data!A607="","",IF(ISNUMBER(Data!C607),Data!C607,IFERROR(DATEVALUE(Data!C607),IFERROR(DATEVALUE(SUBSTITUTE(Data!C607,"-"," ")),""))))</f>
        <v/>
      </c>
      <c r="B607" s="2">
        <f>IF(Data!A607="","",IF(ISNUMBER(Data!D607),Data!D607,IFERROR(DATEVALUE(Data!D607),IFERROR(DATEVALUE(SUBSTITUTE(Data!D607,"-"," ")),""))))</f>
        <v/>
      </c>
      <c r="C607">
        <f>IF(Data!A607="","",IF(AND(A607="",B607=""),"Undated",IF(AND(A607&lt;&gt;"",TODAY()&lt;A607),"Upcoming",IF(AND(B607&lt;&gt;"",TODAY()&gt;B607),"Completed","Active"))))</f>
        <v/>
      </c>
    </row>
    <row r="608">
      <c r="A608" s="2">
        <f>IF(Data!A608="","",IF(ISNUMBER(Data!C608),Data!C608,IFERROR(DATEVALUE(Data!C608),IFERROR(DATEVALUE(SUBSTITUTE(Data!C608,"-"," ")),""))))</f>
        <v/>
      </c>
      <c r="B608" s="2">
        <f>IF(Data!A608="","",IF(ISNUMBER(Data!D608),Data!D608,IFERROR(DATEVALUE(Data!D608),IFERROR(DATEVALUE(SUBSTITUTE(Data!D608,"-"," ")),""))))</f>
        <v/>
      </c>
      <c r="C608">
        <f>IF(Data!A608="","",IF(AND(A608="",B608=""),"Undated",IF(AND(A608&lt;&gt;"",TODAY()&lt;A608),"Upcoming",IF(AND(B608&lt;&gt;"",TODAY()&gt;B608),"Completed","Active"))))</f>
        <v/>
      </c>
    </row>
    <row r="609">
      <c r="A609" s="2">
        <f>IF(Data!A609="","",IF(ISNUMBER(Data!C609),Data!C609,IFERROR(DATEVALUE(Data!C609),IFERROR(DATEVALUE(SUBSTITUTE(Data!C609,"-"," ")),""))))</f>
        <v/>
      </c>
      <c r="B609" s="2">
        <f>IF(Data!A609="","",IF(ISNUMBER(Data!D609),Data!D609,IFERROR(DATEVALUE(Data!D609),IFERROR(DATEVALUE(SUBSTITUTE(Data!D609,"-"," ")),""))))</f>
        <v/>
      </c>
      <c r="C609">
        <f>IF(Data!A609="","",IF(AND(A609="",B609=""),"Undated",IF(AND(A609&lt;&gt;"",TODAY()&lt;A609),"Upcoming",IF(AND(B609&lt;&gt;"",TODAY()&gt;B609),"Completed","Active"))))</f>
        <v/>
      </c>
    </row>
    <row r="610">
      <c r="A610" s="2">
        <f>IF(Data!A610="","",IF(ISNUMBER(Data!C610),Data!C610,IFERROR(DATEVALUE(Data!C610),IFERROR(DATEVALUE(SUBSTITUTE(Data!C610,"-"," ")),""))))</f>
        <v/>
      </c>
      <c r="B610" s="2">
        <f>IF(Data!A610="","",IF(ISNUMBER(Data!D610),Data!D610,IFERROR(DATEVALUE(Data!D610),IFERROR(DATEVALUE(SUBSTITUTE(Data!D610,"-"," ")),""))))</f>
        <v/>
      </c>
      <c r="C610">
        <f>IF(Data!A610="","",IF(AND(A610="",B610=""),"Undated",IF(AND(A610&lt;&gt;"",TODAY()&lt;A610),"Upcoming",IF(AND(B610&lt;&gt;"",TODAY()&gt;B610),"Completed","Active"))))</f>
        <v/>
      </c>
    </row>
    <row r="611">
      <c r="A611" s="2">
        <f>IF(Data!A611="","",IF(ISNUMBER(Data!C611),Data!C611,IFERROR(DATEVALUE(Data!C611),IFERROR(DATEVALUE(SUBSTITUTE(Data!C611,"-"," ")),""))))</f>
        <v/>
      </c>
      <c r="B611" s="2">
        <f>IF(Data!A611="","",IF(ISNUMBER(Data!D611),Data!D611,IFERROR(DATEVALUE(Data!D611),IFERROR(DATEVALUE(SUBSTITUTE(Data!D611,"-"," ")),""))))</f>
        <v/>
      </c>
      <c r="C611">
        <f>IF(Data!A611="","",IF(AND(A611="",B611=""),"Undated",IF(AND(A611&lt;&gt;"",TODAY()&lt;A611),"Upcoming",IF(AND(B611&lt;&gt;"",TODAY()&gt;B611),"Completed","Active"))))</f>
        <v/>
      </c>
    </row>
    <row r="612">
      <c r="A612" s="2">
        <f>IF(Data!A612="","",IF(ISNUMBER(Data!C612),Data!C612,IFERROR(DATEVALUE(Data!C612),IFERROR(DATEVALUE(SUBSTITUTE(Data!C612,"-"," ")),""))))</f>
        <v/>
      </c>
      <c r="B612" s="2">
        <f>IF(Data!A612="","",IF(ISNUMBER(Data!D612),Data!D612,IFERROR(DATEVALUE(Data!D612),IFERROR(DATEVALUE(SUBSTITUTE(Data!D612,"-"," ")),""))))</f>
        <v/>
      </c>
      <c r="C612">
        <f>IF(Data!A612="","",IF(AND(A612="",B612=""),"Undated",IF(AND(A612&lt;&gt;"",TODAY()&lt;A612),"Upcoming",IF(AND(B612&lt;&gt;"",TODAY()&gt;B612),"Completed","Active"))))</f>
        <v/>
      </c>
    </row>
    <row r="613">
      <c r="A613" s="2">
        <f>IF(Data!A613="","",IF(ISNUMBER(Data!C613),Data!C613,IFERROR(DATEVALUE(Data!C613),IFERROR(DATEVALUE(SUBSTITUTE(Data!C613,"-"," ")),""))))</f>
        <v/>
      </c>
      <c r="B613" s="2">
        <f>IF(Data!A613="","",IF(ISNUMBER(Data!D613),Data!D613,IFERROR(DATEVALUE(Data!D613),IFERROR(DATEVALUE(SUBSTITUTE(Data!D613,"-"," ")),""))))</f>
        <v/>
      </c>
      <c r="C613">
        <f>IF(Data!A613="","",IF(AND(A613="",B613=""),"Undated",IF(AND(A613&lt;&gt;"",TODAY()&lt;A613),"Upcoming",IF(AND(B613&lt;&gt;"",TODAY()&gt;B613),"Completed","Active"))))</f>
        <v/>
      </c>
    </row>
    <row r="614">
      <c r="A614" s="2">
        <f>IF(Data!A614="","",IF(ISNUMBER(Data!C614),Data!C614,IFERROR(DATEVALUE(Data!C614),IFERROR(DATEVALUE(SUBSTITUTE(Data!C614,"-"," ")),""))))</f>
        <v/>
      </c>
      <c r="B614" s="2">
        <f>IF(Data!A614="","",IF(ISNUMBER(Data!D614),Data!D614,IFERROR(DATEVALUE(Data!D614),IFERROR(DATEVALUE(SUBSTITUTE(Data!D614,"-"," ")),""))))</f>
        <v/>
      </c>
      <c r="C614">
        <f>IF(Data!A614="","",IF(AND(A614="",B614=""),"Undated",IF(AND(A614&lt;&gt;"",TODAY()&lt;A614),"Upcoming",IF(AND(B614&lt;&gt;"",TODAY()&gt;B614),"Completed","Active"))))</f>
        <v/>
      </c>
    </row>
    <row r="615">
      <c r="A615" s="2">
        <f>IF(Data!A615="","",IF(ISNUMBER(Data!C615),Data!C615,IFERROR(DATEVALUE(Data!C615),IFERROR(DATEVALUE(SUBSTITUTE(Data!C615,"-"," ")),""))))</f>
        <v/>
      </c>
      <c r="B615" s="2">
        <f>IF(Data!A615="","",IF(ISNUMBER(Data!D615),Data!D615,IFERROR(DATEVALUE(Data!D615),IFERROR(DATEVALUE(SUBSTITUTE(Data!D615,"-"," ")),""))))</f>
        <v/>
      </c>
      <c r="C615">
        <f>IF(Data!A615="","",IF(AND(A615="",B615=""),"Undated",IF(AND(A615&lt;&gt;"",TODAY()&lt;A615),"Upcoming",IF(AND(B615&lt;&gt;"",TODAY()&gt;B615),"Completed","Active"))))</f>
        <v/>
      </c>
    </row>
    <row r="616">
      <c r="A616" s="2">
        <f>IF(Data!A616="","",IF(ISNUMBER(Data!C616),Data!C616,IFERROR(DATEVALUE(Data!C616),IFERROR(DATEVALUE(SUBSTITUTE(Data!C616,"-"," ")),""))))</f>
        <v/>
      </c>
      <c r="B616" s="2">
        <f>IF(Data!A616="","",IF(ISNUMBER(Data!D616),Data!D616,IFERROR(DATEVALUE(Data!D616),IFERROR(DATEVALUE(SUBSTITUTE(Data!D616,"-"," ")),""))))</f>
        <v/>
      </c>
      <c r="C616">
        <f>IF(Data!A616="","",IF(AND(A616="",B616=""),"Undated",IF(AND(A616&lt;&gt;"",TODAY()&lt;A616),"Upcoming",IF(AND(B616&lt;&gt;"",TODAY()&gt;B616),"Completed","Active"))))</f>
        <v/>
      </c>
    </row>
    <row r="617">
      <c r="A617" s="2">
        <f>IF(Data!A617="","",IF(ISNUMBER(Data!C617),Data!C617,IFERROR(DATEVALUE(Data!C617),IFERROR(DATEVALUE(SUBSTITUTE(Data!C617,"-"," ")),""))))</f>
        <v/>
      </c>
      <c r="B617" s="2">
        <f>IF(Data!A617="","",IF(ISNUMBER(Data!D617),Data!D617,IFERROR(DATEVALUE(Data!D617),IFERROR(DATEVALUE(SUBSTITUTE(Data!D617,"-"," ")),""))))</f>
        <v/>
      </c>
      <c r="C617">
        <f>IF(Data!A617="","",IF(AND(A617="",B617=""),"Undated",IF(AND(A617&lt;&gt;"",TODAY()&lt;A617),"Upcoming",IF(AND(B617&lt;&gt;"",TODAY()&gt;B617),"Completed","Active"))))</f>
        <v/>
      </c>
    </row>
    <row r="618">
      <c r="A618" s="2">
        <f>IF(Data!A618="","",IF(ISNUMBER(Data!C618),Data!C618,IFERROR(DATEVALUE(Data!C618),IFERROR(DATEVALUE(SUBSTITUTE(Data!C618,"-"," ")),""))))</f>
        <v/>
      </c>
      <c r="B618" s="2">
        <f>IF(Data!A618="","",IF(ISNUMBER(Data!D618),Data!D618,IFERROR(DATEVALUE(Data!D618),IFERROR(DATEVALUE(SUBSTITUTE(Data!D618,"-"," ")),""))))</f>
        <v/>
      </c>
      <c r="C618">
        <f>IF(Data!A618="","",IF(AND(A618="",B618=""),"Undated",IF(AND(A618&lt;&gt;"",TODAY()&lt;A618),"Upcoming",IF(AND(B618&lt;&gt;"",TODAY()&gt;B618),"Completed","Active"))))</f>
        <v/>
      </c>
    </row>
    <row r="619">
      <c r="A619" s="2">
        <f>IF(Data!A619="","",IF(ISNUMBER(Data!C619),Data!C619,IFERROR(DATEVALUE(Data!C619),IFERROR(DATEVALUE(SUBSTITUTE(Data!C619,"-"," ")),""))))</f>
        <v/>
      </c>
      <c r="B619" s="2">
        <f>IF(Data!A619="","",IF(ISNUMBER(Data!D619),Data!D619,IFERROR(DATEVALUE(Data!D619),IFERROR(DATEVALUE(SUBSTITUTE(Data!D619,"-"," ")),""))))</f>
        <v/>
      </c>
      <c r="C619">
        <f>IF(Data!A619="","",IF(AND(A619="",B619=""),"Undated",IF(AND(A619&lt;&gt;"",TODAY()&lt;A619),"Upcoming",IF(AND(B619&lt;&gt;"",TODAY()&gt;B619),"Completed","Active"))))</f>
        <v/>
      </c>
    </row>
    <row r="620">
      <c r="A620" s="2">
        <f>IF(Data!A620="","",IF(ISNUMBER(Data!C620),Data!C620,IFERROR(DATEVALUE(Data!C620),IFERROR(DATEVALUE(SUBSTITUTE(Data!C620,"-"," ")),""))))</f>
        <v/>
      </c>
      <c r="B620" s="2">
        <f>IF(Data!A620="","",IF(ISNUMBER(Data!D620),Data!D620,IFERROR(DATEVALUE(Data!D620),IFERROR(DATEVALUE(SUBSTITUTE(Data!D620,"-"," ")),""))))</f>
        <v/>
      </c>
      <c r="C620">
        <f>IF(Data!A620="","",IF(AND(A620="",B620=""),"Undated",IF(AND(A620&lt;&gt;"",TODAY()&lt;A620),"Upcoming",IF(AND(B620&lt;&gt;"",TODAY()&gt;B620),"Completed","Active"))))</f>
        <v/>
      </c>
    </row>
    <row r="621">
      <c r="A621" s="2">
        <f>IF(Data!A621="","",IF(ISNUMBER(Data!C621),Data!C621,IFERROR(DATEVALUE(Data!C621),IFERROR(DATEVALUE(SUBSTITUTE(Data!C621,"-"," ")),""))))</f>
        <v/>
      </c>
      <c r="B621" s="2">
        <f>IF(Data!A621="","",IF(ISNUMBER(Data!D621),Data!D621,IFERROR(DATEVALUE(Data!D621),IFERROR(DATEVALUE(SUBSTITUTE(Data!D621,"-"," ")),""))))</f>
        <v/>
      </c>
      <c r="C621">
        <f>IF(Data!A621="","",IF(AND(A621="",B621=""),"Undated",IF(AND(A621&lt;&gt;"",TODAY()&lt;A621),"Upcoming",IF(AND(B621&lt;&gt;"",TODAY()&gt;B621),"Completed","Active"))))</f>
        <v/>
      </c>
    </row>
    <row r="622">
      <c r="A622" s="2">
        <f>IF(Data!A622="","",IF(ISNUMBER(Data!C622),Data!C622,IFERROR(DATEVALUE(Data!C622),IFERROR(DATEVALUE(SUBSTITUTE(Data!C622,"-"," ")),""))))</f>
        <v/>
      </c>
      <c r="B622" s="2">
        <f>IF(Data!A622="","",IF(ISNUMBER(Data!D622),Data!D622,IFERROR(DATEVALUE(Data!D622),IFERROR(DATEVALUE(SUBSTITUTE(Data!D622,"-"," ")),""))))</f>
        <v/>
      </c>
      <c r="C622">
        <f>IF(Data!A622="","",IF(AND(A622="",B622=""),"Undated",IF(AND(A622&lt;&gt;"",TODAY()&lt;A622),"Upcoming",IF(AND(B622&lt;&gt;"",TODAY()&gt;B622),"Completed","Active"))))</f>
        <v/>
      </c>
    </row>
    <row r="623">
      <c r="A623" s="2">
        <f>IF(Data!A623="","",IF(ISNUMBER(Data!C623),Data!C623,IFERROR(DATEVALUE(Data!C623),IFERROR(DATEVALUE(SUBSTITUTE(Data!C623,"-"," ")),""))))</f>
        <v/>
      </c>
      <c r="B623" s="2">
        <f>IF(Data!A623="","",IF(ISNUMBER(Data!D623),Data!D623,IFERROR(DATEVALUE(Data!D623),IFERROR(DATEVALUE(SUBSTITUTE(Data!D623,"-"," ")),""))))</f>
        <v/>
      </c>
      <c r="C623">
        <f>IF(Data!A623="","",IF(AND(A623="",B623=""),"Undated",IF(AND(A623&lt;&gt;"",TODAY()&lt;A623),"Upcoming",IF(AND(B623&lt;&gt;"",TODAY()&gt;B623),"Completed","Active"))))</f>
        <v/>
      </c>
    </row>
    <row r="624">
      <c r="A624" s="2">
        <f>IF(Data!A624="","",IF(ISNUMBER(Data!C624),Data!C624,IFERROR(DATEVALUE(Data!C624),IFERROR(DATEVALUE(SUBSTITUTE(Data!C624,"-"," ")),""))))</f>
        <v/>
      </c>
      <c r="B624" s="2">
        <f>IF(Data!A624="","",IF(ISNUMBER(Data!D624),Data!D624,IFERROR(DATEVALUE(Data!D624),IFERROR(DATEVALUE(SUBSTITUTE(Data!D624,"-"," ")),""))))</f>
        <v/>
      </c>
      <c r="C624">
        <f>IF(Data!A624="","",IF(AND(A624="",B624=""),"Undated",IF(AND(A624&lt;&gt;"",TODAY()&lt;A624),"Upcoming",IF(AND(B624&lt;&gt;"",TODAY()&gt;B624),"Completed","Active"))))</f>
        <v/>
      </c>
    </row>
    <row r="625">
      <c r="A625" s="2">
        <f>IF(Data!A625="","",IF(ISNUMBER(Data!C625),Data!C625,IFERROR(DATEVALUE(Data!C625),IFERROR(DATEVALUE(SUBSTITUTE(Data!C625,"-"," ")),""))))</f>
        <v/>
      </c>
      <c r="B625" s="2">
        <f>IF(Data!A625="","",IF(ISNUMBER(Data!D625),Data!D625,IFERROR(DATEVALUE(Data!D625),IFERROR(DATEVALUE(SUBSTITUTE(Data!D625,"-"," ")),""))))</f>
        <v/>
      </c>
      <c r="C625">
        <f>IF(Data!A625="","",IF(AND(A625="",B625=""),"Undated",IF(AND(A625&lt;&gt;"",TODAY()&lt;A625),"Upcoming",IF(AND(B625&lt;&gt;"",TODAY()&gt;B625),"Completed","Active"))))</f>
        <v/>
      </c>
    </row>
    <row r="626">
      <c r="A626" s="2">
        <f>IF(Data!A626="","",IF(ISNUMBER(Data!C626),Data!C626,IFERROR(DATEVALUE(Data!C626),IFERROR(DATEVALUE(SUBSTITUTE(Data!C626,"-"," ")),""))))</f>
        <v/>
      </c>
      <c r="B626" s="2">
        <f>IF(Data!A626="","",IF(ISNUMBER(Data!D626),Data!D626,IFERROR(DATEVALUE(Data!D626),IFERROR(DATEVALUE(SUBSTITUTE(Data!D626,"-"," ")),""))))</f>
        <v/>
      </c>
      <c r="C626">
        <f>IF(Data!A626="","",IF(AND(A626="",B626=""),"Undated",IF(AND(A626&lt;&gt;"",TODAY()&lt;A626),"Upcoming",IF(AND(B626&lt;&gt;"",TODAY()&gt;B626),"Completed","Active"))))</f>
        <v/>
      </c>
    </row>
    <row r="627">
      <c r="A627" s="2">
        <f>IF(Data!A627="","",IF(ISNUMBER(Data!C627),Data!C627,IFERROR(DATEVALUE(Data!C627),IFERROR(DATEVALUE(SUBSTITUTE(Data!C627,"-"," ")),""))))</f>
        <v/>
      </c>
      <c r="B627" s="2">
        <f>IF(Data!A627="","",IF(ISNUMBER(Data!D627),Data!D627,IFERROR(DATEVALUE(Data!D627),IFERROR(DATEVALUE(SUBSTITUTE(Data!D627,"-"," ")),""))))</f>
        <v/>
      </c>
      <c r="C627">
        <f>IF(Data!A627="","",IF(AND(A627="",B627=""),"Undated",IF(AND(A627&lt;&gt;"",TODAY()&lt;A627),"Upcoming",IF(AND(B627&lt;&gt;"",TODAY()&gt;B627),"Completed","Active"))))</f>
        <v/>
      </c>
    </row>
    <row r="628">
      <c r="A628" s="2">
        <f>IF(Data!A628="","",IF(ISNUMBER(Data!C628),Data!C628,IFERROR(DATEVALUE(Data!C628),IFERROR(DATEVALUE(SUBSTITUTE(Data!C628,"-"," ")),""))))</f>
        <v/>
      </c>
      <c r="B628" s="2">
        <f>IF(Data!A628="","",IF(ISNUMBER(Data!D628),Data!D628,IFERROR(DATEVALUE(Data!D628),IFERROR(DATEVALUE(SUBSTITUTE(Data!D628,"-"," ")),""))))</f>
        <v/>
      </c>
      <c r="C628">
        <f>IF(Data!A628="","",IF(AND(A628="",B628=""),"Undated",IF(AND(A628&lt;&gt;"",TODAY()&lt;A628),"Upcoming",IF(AND(B628&lt;&gt;"",TODAY()&gt;B628),"Completed","Active"))))</f>
        <v/>
      </c>
    </row>
    <row r="629">
      <c r="A629" s="2">
        <f>IF(Data!A629="","",IF(ISNUMBER(Data!C629),Data!C629,IFERROR(DATEVALUE(Data!C629),IFERROR(DATEVALUE(SUBSTITUTE(Data!C629,"-"," ")),""))))</f>
        <v/>
      </c>
      <c r="B629" s="2">
        <f>IF(Data!A629="","",IF(ISNUMBER(Data!D629),Data!D629,IFERROR(DATEVALUE(Data!D629),IFERROR(DATEVALUE(SUBSTITUTE(Data!D629,"-"," ")),""))))</f>
        <v/>
      </c>
      <c r="C629">
        <f>IF(Data!A629="","",IF(AND(A629="",B629=""),"Undated",IF(AND(A629&lt;&gt;"",TODAY()&lt;A629),"Upcoming",IF(AND(B629&lt;&gt;"",TODAY()&gt;B629),"Completed","Active"))))</f>
        <v/>
      </c>
    </row>
    <row r="630">
      <c r="A630" s="2">
        <f>IF(Data!A630="","",IF(ISNUMBER(Data!C630),Data!C630,IFERROR(DATEVALUE(Data!C630),IFERROR(DATEVALUE(SUBSTITUTE(Data!C630,"-"," ")),""))))</f>
        <v/>
      </c>
      <c r="B630" s="2">
        <f>IF(Data!A630="","",IF(ISNUMBER(Data!D630),Data!D630,IFERROR(DATEVALUE(Data!D630),IFERROR(DATEVALUE(SUBSTITUTE(Data!D630,"-"," ")),""))))</f>
        <v/>
      </c>
      <c r="C630">
        <f>IF(Data!A630="","",IF(AND(A630="",B630=""),"Undated",IF(AND(A630&lt;&gt;"",TODAY()&lt;A630),"Upcoming",IF(AND(B630&lt;&gt;"",TODAY()&gt;B630),"Completed","Active"))))</f>
        <v/>
      </c>
    </row>
    <row r="631">
      <c r="A631" s="2">
        <f>IF(Data!A631="","",IF(ISNUMBER(Data!C631),Data!C631,IFERROR(DATEVALUE(Data!C631),IFERROR(DATEVALUE(SUBSTITUTE(Data!C631,"-"," ")),""))))</f>
        <v/>
      </c>
      <c r="B631" s="2">
        <f>IF(Data!A631="","",IF(ISNUMBER(Data!D631),Data!D631,IFERROR(DATEVALUE(Data!D631),IFERROR(DATEVALUE(SUBSTITUTE(Data!D631,"-"," ")),""))))</f>
        <v/>
      </c>
      <c r="C631">
        <f>IF(Data!A631="","",IF(AND(A631="",B631=""),"Undated",IF(AND(A631&lt;&gt;"",TODAY()&lt;A631),"Upcoming",IF(AND(B631&lt;&gt;"",TODAY()&gt;B631),"Completed","Active"))))</f>
        <v/>
      </c>
    </row>
    <row r="632">
      <c r="A632" s="2">
        <f>IF(Data!A632="","",IF(ISNUMBER(Data!C632),Data!C632,IFERROR(DATEVALUE(Data!C632),IFERROR(DATEVALUE(SUBSTITUTE(Data!C632,"-"," ")),""))))</f>
        <v/>
      </c>
      <c r="B632" s="2">
        <f>IF(Data!A632="","",IF(ISNUMBER(Data!D632),Data!D632,IFERROR(DATEVALUE(Data!D632),IFERROR(DATEVALUE(SUBSTITUTE(Data!D632,"-"," ")),""))))</f>
        <v/>
      </c>
      <c r="C632">
        <f>IF(Data!A632="","",IF(AND(A632="",B632=""),"Undated",IF(AND(A632&lt;&gt;"",TODAY()&lt;A632),"Upcoming",IF(AND(B632&lt;&gt;"",TODAY()&gt;B632),"Completed","Active"))))</f>
        <v/>
      </c>
    </row>
    <row r="633">
      <c r="A633" s="2">
        <f>IF(Data!A633="","",IF(ISNUMBER(Data!C633),Data!C633,IFERROR(DATEVALUE(Data!C633),IFERROR(DATEVALUE(SUBSTITUTE(Data!C633,"-"," ")),""))))</f>
        <v/>
      </c>
      <c r="B633" s="2">
        <f>IF(Data!A633="","",IF(ISNUMBER(Data!D633),Data!D633,IFERROR(DATEVALUE(Data!D633),IFERROR(DATEVALUE(SUBSTITUTE(Data!D633,"-"," ")),""))))</f>
        <v/>
      </c>
      <c r="C633">
        <f>IF(Data!A633="","",IF(AND(A633="",B633=""),"Undated",IF(AND(A633&lt;&gt;"",TODAY()&lt;A633),"Upcoming",IF(AND(B633&lt;&gt;"",TODAY()&gt;B633),"Completed","Active"))))</f>
        <v/>
      </c>
    </row>
    <row r="634">
      <c r="A634" s="2">
        <f>IF(Data!A634="","",IF(ISNUMBER(Data!C634),Data!C634,IFERROR(DATEVALUE(Data!C634),IFERROR(DATEVALUE(SUBSTITUTE(Data!C634,"-"," ")),""))))</f>
        <v/>
      </c>
      <c r="B634" s="2">
        <f>IF(Data!A634="","",IF(ISNUMBER(Data!D634),Data!D634,IFERROR(DATEVALUE(Data!D634),IFERROR(DATEVALUE(SUBSTITUTE(Data!D634,"-"," ")),""))))</f>
        <v/>
      </c>
      <c r="C634">
        <f>IF(Data!A634="","",IF(AND(A634="",B634=""),"Undated",IF(AND(A634&lt;&gt;"",TODAY()&lt;A634),"Upcoming",IF(AND(B634&lt;&gt;"",TODAY()&gt;B634),"Completed","Active"))))</f>
        <v/>
      </c>
    </row>
    <row r="635">
      <c r="A635" s="2">
        <f>IF(Data!A635="","",IF(ISNUMBER(Data!C635),Data!C635,IFERROR(DATEVALUE(Data!C635),IFERROR(DATEVALUE(SUBSTITUTE(Data!C635,"-"," ")),""))))</f>
        <v/>
      </c>
      <c r="B635" s="2">
        <f>IF(Data!A635="","",IF(ISNUMBER(Data!D635),Data!D635,IFERROR(DATEVALUE(Data!D635),IFERROR(DATEVALUE(SUBSTITUTE(Data!D635,"-"," ")),""))))</f>
        <v/>
      </c>
      <c r="C635">
        <f>IF(Data!A635="","",IF(AND(A635="",B635=""),"Undated",IF(AND(A635&lt;&gt;"",TODAY()&lt;A635),"Upcoming",IF(AND(B635&lt;&gt;"",TODAY()&gt;B635),"Completed","Active"))))</f>
        <v/>
      </c>
    </row>
    <row r="636">
      <c r="A636" s="2">
        <f>IF(Data!A636="","",IF(ISNUMBER(Data!C636),Data!C636,IFERROR(DATEVALUE(Data!C636),IFERROR(DATEVALUE(SUBSTITUTE(Data!C636,"-"," ")),""))))</f>
        <v/>
      </c>
      <c r="B636" s="2">
        <f>IF(Data!A636="","",IF(ISNUMBER(Data!D636),Data!D636,IFERROR(DATEVALUE(Data!D636),IFERROR(DATEVALUE(SUBSTITUTE(Data!D636,"-"," ")),""))))</f>
        <v/>
      </c>
      <c r="C636">
        <f>IF(Data!A636="","",IF(AND(A636="",B636=""),"Undated",IF(AND(A636&lt;&gt;"",TODAY()&lt;A636),"Upcoming",IF(AND(B636&lt;&gt;"",TODAY()&gt;B636),"Completed","Active"))))</f>
        <v/>
      </c>
    </row>
    <row r="637">
      <c r="A637" s="2">
        <f>IF(Data!A637="","",IF(ISNUMBER(Data!C637),Data!C637,IFERROR(DATEVALUE(Data!C637),IFERROR(DATEVALUE(SUBSTITUTE(Data!C637,"-"," ")),""))))</f>
        <v/>
      </c>
      <c r="B637" s="2">
        <f>IF(Data!A637="","",IF(ISNUMBER(Data!D637),Data!D637,IFERROR(DATEVALUE(Data!D637),IFERROR(DATEVALUE(SUBSTITUTE(Data!D637,"-"," ")),""))))</f>
        <v/>
      </c>
      <c r="C637">
        <f>IF(Data!A637="","",IF(AND(A637="",B637=""),"Undated",IF(AND(A637&lt;&gt;"",TODAY()&lt;A637),"Upcoming",IF(AND(B637&lt;&gt;"",TODAY()&gt;B637),"Completed","Active"))))</f>
        <v/>
      </c>
    </row>
    <row r="638">
      <c r="A638" s="2">
        <f>IF(Data!A638="","",IF(ISNUMBER(Data!C638),Data!C638,IFERROR(DATEVALUE(Data!C638),IFERROR(DATEVALUE(SUBSTITUTE(Data!C638,"-"," ")),""))))</f>
        <v/>
      </c>
      <c r="B638" s="2">
        <f>IF(Data!A638="","",IF(ISNUMBER(Data!D638),Data!D638,IFERROR(DATEVALUE(Data!D638),IFERROR(DATEVALUE(SUBSTITUTE(Data!D638,"-"," ")),""))))</f>
        <v/>
      </c>
      <c r="C638">
        <f>IF(Data!A638="","",IF(AND(A638="",B638=""),"Undated",IF(AND(A638&lt;&gt;"",TODAY()&lt;A638),"Upcoming",IF(AND(B638&lt;&gt;"",TODAY()&gt;B638),"Completed","Active"))))</f>
        <v/>
      </c>
    </row>
    <row r="639">
      <c r="A639" s="2">
        <f>IF(Data!A639="","",IF(ISNUMBER(Data!C639),Data!C639,IFERROR(DATEVALUE(Data!C639),IFERROR(DATEVALUE(SUBSTITUTE(Data!C639,"-"," ")),""))))</f>
        <v/>
      </c>
      <c r="B639" s="2">
        <f>IF(Data!A639="","",IF(ISNUMBER(Data!D639),Data!D639,IFERROR(DATEVALUE(Data!D639),IFERROR(DATEVALUE(SUBSTITUTE(Data!D639,"-"," ")),""))))</f>
        <v/>
      </c>
      <c r="C639">
        <f>IF(Data!A639="","",IF(AND(A639="",B639=""),"Undated",IF(AND(A639&lt;&gt;"",TODAY()&lt;A639),"Upcoming",IF(AND(B639&lt;&gt;"",TODAY()&gt;B639),"Completed","Active"))))</f>
        <v/>
      </c>
    </row>
    <row r="640">
      <c r="A640" s="2">
        <f>IF(Data!A640="","",IF(ISNUMBER(Data!C640),Data!C640,IFERROR(DATEVALUE(Data!C640),IFERROR(DATEVALUE(SUBSTITUTE(Data!C640,"-"," ")),""))))</f>
        <v/>
      </c>
      <c r="B640" s="2">
        <f>IF(Data!A640="","",IF(ISNUMBER(Data!D640),Data!D640,IFERROR(DATEVALUE(Data!D640),IFERROR(DATEVALUE(SUBSTITUTE(Data!D640,"-"," ")),""))))</f>
        <v/>
      </c>
      <c r="C640">
        <f>IF(Data!A640="","",IF(AND(A640="",B640=""),"Undated",IF(AND(A640&lt;&gt;"",TODAY()&lt;A640),"Upcoming",IF(AND(B640&lt;&gt;"",TODAY()&gt;B640),"Completed","Active"))))</f>
        <v/>
      </c>
    </row>
    <row r="641">
      <c r="A641" s="2">
        <f>IF(Data!A641="","",IF(ISNUMBER(Data!C641),Data!C641,IFERROR(DATEVALUE(Data!C641),IFERROR(DATEVALUE(SUBSTITUTE(Data!C641,"-"," ")),""))))</f>
        <v/>
      </c>
      <c r="B641" s="2">
        <f>IF(Data!A641="","",IF(ISNUMBER(Data!D641),Data!D641,IFERROR(DATEVALUE(Data!D641),IFERROR(DATEVALUE(SUBSTITUTE(Data!D641,"-"," ")),""))))</f>
        <v/>
      </c>
      <c r="C641">
        <f>IF(Data!A641="","",IF(AND(A641="",B641=""),"Undated",IF(AND(A641&lt;&gt;"",TODAY()&lt;A641),"Upcoming",IF(AND(B641&lt;&gt;"",TODAY()&gt;B641),"Completed","Active"))))</f>
        <v/>
      </c>
    </row>
    <row r="642">
      <c r="A642" s="2">
        <f>IF(Data!A642="","",IF(ISNUMBER(Data!C642),Data!C642,IFERROR(DATEVALUE(Data!C642),IFERROR(DATEVALUE(SUBSTITUTE(Data!C642,"-"," ")),""))))</f>
        <v/>
      </c>
      <c r="B642" s="2">
        <f>IF(Data!A642="","",IF(ISNUMBER(Data!D642),Data!D642,IFERROR(DATEVALUE(Data!D642),IFERROR(DATEVALUE(SUBSTITUTE(Data!D642,"-"," ")),""))))</f>
        <v/>
      </c>
      <c r="C642">
        <f>IF(Data!A642="","",IF(AND(A642="",B642=""),"Undated",IF(AND(A642&lt;&gt;"",TODAY()&lt;A642),"Upcoming",IF(AND(B642&lt;&gt;"",TODAY()&gt;B642),"Completed","Active"))))</f>
        <v/>
      </c>
    </row>
    <row r="643">
      <c r="A643" s="2">
        <f>IF(Data!A643="","",IF(ISNUMBER(Data!C643),Data!C643,IFERROR(DATEVALUE(Data!C643),IFERROR(DATEVALUE(SUBSTITUTE(Data!C643,"-"," ")),""))))</f>
        <v/>
      </c>
      <c r="B643" s="2">
        <f>IF(Data!A643="","",IF(ISNUMBER(Data!D643),Data!D643,IFERROR(DATEVALUE(Data!D643),IFERROR(DATEVALUE(SUBSTITUTE(Data!D643,"-"," ")),""))))</f>
        <v/>
      </c>
      <c r="C643">
        <f>IF(Data!A643="","",IF(AND(A643="",B643=""),"Undated",IF(AND(A643&lt;&gt;"",TODAY()&lt;A643),"Upcoming",IF(AND(B643&lt;&gt;"",TODAY()&gt;B643),"Completed","Active"))))</f>
        <v/>
      </c>
    </row>
    <row r="644">
      <c r="A644" s="2">
        <f>IF(Data!A644="","",IF(ISNUMBER(Data!C644),Data!C644,IFERROR(DATEVALUE(Data!C644),IFERROR(DATEVALUE(SUBSTITUTE(Data!C644,"-"," ")),""))))</f>
        <v/>
      </c>
      <c r="B644" s="2">
        <f>IF(Data!A644="","",IF(ISNUMBER(Data!D644),Data!D644,IFERROR(DATEVALUE(Data!D644),IFERROR(DATEVALUE(SUBSTITUTE(Data!D644,"-"," ")),""))))</f>
        <v/>
      </c>
      <c r="C644">
        <f>IF(Data!A644="","",IF(AND(A644="",B644=""),"Undated",IF(AND(A644&lt;&gt;"",TODAY()&lt;A644),"Upcoming",IF(AND(B644&lt;&gt;"",TODAY()&gt;B644),"Completed","Active"))))</f>
        <v/>
      </c>
    </row>
    <row r="645">
      <c r="A645" s="2">
        <f>IF(Data!A645="","",IF(ISNUMBER(Data!C645),Data!C645,IFERROR(DATEVALUE(Data!C645),IFERROR(DATEVALUE(SUBSTITUTE(Data!C645,"-"," ")),""))))</f>
        <v/>
      </c>
      <c r="B645" s="2">
        <f>IF(Data!A645="","",IF(ISNUMBER(Data!D645),Data!D645,IFERROR(DATEVALUE(Data!D645),IFERROR(DATEVALUE(SUBSTITUTE(Data!D645,"-"," ")),""))))</f>
        <v/>
      </c>
      <c r="C645">
        <f>IF(Data!A645="","",IF(AND(A645="",B645=""),"Undated",IF(AND(A645&lt;&gt;"",TODAY()&lt;A645),"Upcoming",IF(AND(B645&lt;&gt;"",TODAY()&gt;B645),"Completed","Active"))))</f>
        <v/>
      </c>
    </row>
    <row r="646">
      <c r="A646" s="2">
        <f>IF(Data!A646="","",IF(ISNUMBER(Data!C646),Data!C646,IFERROR(DATEVALUE(Data!C646),IFERROR(DATEVALUE(SUBSTITUTE(Data!C646,"-"," ")),""))))</f>
        <v/>
      </c>
      <c r="B646" s="2">
        <f>IF(Data!A646="","",IF(ISNUMBER(Data!D646),Data!D646,IFERROR(DATEVALUE(Data!D646),IFERROR(DATEVALUE(SUBSTITUTE(Data!D646,"-"," ")),""))))</f>
        <v/>
      </c>
      <c r="C646">
        <f>IF(Data!A646="","",IF(AND(A646="",B646=""),"Undated",IF(AND(A646&lt;&gt;"",TODAY()&lt;A646),"Upcoming",IF(AND(B646&lt;&gt;"",TODAY()&gt;B646),"Completed","Active"))))</f>
        <v/>
      </c>
    </row>
    <row r="647">
      <c r="A647" s="2">
        <f>IF(Data!A647="","",IF(ISNUMBER(Data!C647),Data!C647,IFERROR(DATEVALUE(Data!C647),IFERROR(DATEVALUE(SUBSTITUTE(Data!C647,"-"," ")),""))))</f>
        <v/>
      </c>
      <c r="B647" s="2">
        <f>IF(Data!A647="","",IF(ISNUMBER(Data!D647),Data!D647,IFERROR(DATEVALUE(Data!D647),IFERROR(DATEVALUE(SUBSTITUTE(Data!D647,"-"," ")),""))))</f>
        <v/>
      </c>
      <c r="C647">
        <f>IF(Data!A647="","",IF(AND(A647="",B647=""),"Undated",IF(AND(A647&lt;&gt;"",TODAY()&lt;A647),"Upcoming",IF(AND(B647&lt;&gt;"",TODAY()&gt;B647),"Completed","Active"))))</f>
        <v/>
      </c>
    </row>
    <row r="648">
      <c r="A648" s="2">
        <f>IF(Data!A648="","",IF(ISNUMBER(Data!C648),Data!C648,IFERROR(DATEVALUE(Data!C648),IFERROR(DATEVALUE(SUBSTITUTE(Data!C648,"-"," ")),""))))</f>
        <v/>
      </c>
      <c r="B648" s="2">
        <f>IF(Data!A648="","",IF(ISNUMBER(Data!D648),Data!D648,IFERROR(DATEVALUE(Data!D648),IFERROR(DATEVALUE(SUBSTITUTE(Data!D648,"-"," ")),""))))</f>
        <v/>
      </c>
      <c r="C648">
        <f>IF(Data!A648="","",IF(AND(A648="",B648=""),"Undated",IF(AND(A648&lt;&gt;"",TODAY()&lt;A648),"Upcoming",IF(AND(B648&lt;&gt;"",TODAY()&gt;B648),"Completed","Active"))))</f>
        <v/>
      </c>
    </row>
    <row r="649">
      <c r="A649" s="2">
        <f>IF(Data!A649="","",IF(ISNUMBER(Data!C649),Data!C649,IFERROR(DATEVALUE(Data!C649),IFERROR(DATEVALUE(SUBSTITUTE(Data!C649,"-"," ")),""))))</f>
        <v/>
      </c>
      <c r="B649" s="2">
        <f>IF(Data!A649="","",IF(ISNUMBER(Data!D649),Data!D649,IFERROR(DATEVALUE(Data!D649),IFERROR(DATEVALUE(SUBSTITUTE(Data!D649,"-"," ")),""))))</f>
        <v/>
      </c>
      <c r="C649">
        <f>IF(Data!A649="","",IF(AND(A649="",B649=""),"Undated",IF(AND(A649&lt;&gt;"",TODAY()&lt;A649),"Upcoming",IF(AND(B649&lt;&gt;"",TODAY()&gt;B649),"Completed","Active"))))</f>
        <v/>
      </c>
    </row>
    <row r="650">
      <c r="A650" s="2">
        <f>IF(Data!A650="","",IF(ISNUMBER(Data!C650),Data!C650,IFERROR(DATEVALUE(Data!C650),IFERROR(DATEVALUE(SUBSTITUTE(Data!C650,"-"," ")),""))))</f>
        <v/>
      </c>
      <c r="B650" s="2">
        <f>IF(Data!A650="","",IF(ISNUMBER(Data!D650),Data!D650,IFERROR(DATEVALUE(Data!D650),IFERROR(DATEVALUE(SUBSTITUTE(Data!D650,"-"," ")),""))))</f>
        <v/>
      </c>
      <c r="C650">
        <f>IF(Data!A650="","",IF(AND(A650="",B650=""),"Undated",IF(AND(A650&lt;&gt;"",TODAY()&lt;A650),"Upcoming",IF(AND(B650&lt;&gt;"",TODAY()&gt;B650),"Completed","Active"))))</f>
        <v/>
      </c>
    </row>
    <row r="651">
      <c r="A651" s="2">
        <f>IF(Data!A651="","",IF(ISNUMBER(Data!C651),Data!C651,IFERROR(DATEVALUE(Data!C651),IFERROR(DATEVALUE(SUBSTITUTE(Data!C651,"-"," ")),""))))</f>
        <v/>
      </c>
      <c r="B651" s="2">
        <f>IF(Data!A651="","",IF(ISNUMBER(Data!D651),Data!D651,IFERROR(DATEVALUE(Data!D651),IFERROR(DATEVALUE(SUBSTITUTE(Data!D651,"-"," ")),""))))</f>
        <v/>
      </c>
      <c r="C651">
        <f>IF(Data!A651="","",IF(AND(A651="",B651=""),"Undated",IF(AND(A651&lt;&gt;"",TODAY()&lt;A651),"Upcoming",IF(AND(B651&lt;&gt;"",TODAY()&gt;B651),"Completed","Active"))))</f>
        <v/>
      </c>
    </row>
    <row r="652">
      <c r="A652" s="2">
        <f>IF(Data!A652="","",IF(ISNUMBER(Data!C652),Data!C652,IFERROR(DATEVALUE(Data!C652),IFERROR(DATEVALUE(SUBSTITUTE(Data!C652,"-"," ")),""))))</f>
        <v/>
      </c>
      <c r="B652" s="2">
        <f>IF(Data!A652="","",IF(ISNUMBER(Data!D652),Data!D652,IFERROR(DATEVALUE(Data!D652),IFERROR(DATEVALUE(SUBSTITUTE(Data!D652,"-"," ")),""))))</f>
        <v/>
      </c>
      <c r="C652">
        <f>IF(Data!A652="","",IF(AND(A652="",B652=""),"Undated",IF(AND(A652&lt;&gt;"",TODAY()&lt;A652),"Upcoming",IF(AND(B652&lt;&gt;"",TODAY()&gt;B652),"Completed","Active"))))</f>
        <v/>
      </c>
    </row>
    <row r="653">
      <c r="A653" s="2">
        <f>IF(Data!A653="","",IF(ISNUMBER(Data!C653),Data!C653,IFERROR(DATEVALUE(Data!C653),IFERROR(DATEVALUE(SUBSTITUTE(Data!C653,"-"," ")),""))))</f>
        <v/>
      </c>
      <c r="B653" s="2">
        <f>IF(Data!A653="","",IF(ISNUMBER(Data!D653),Data!D653,IFERROR(DATEVALUE(Data!D653),IFERROR(DATEVALUE(SUBSTITUTE(Data!D653,"-"," ")),""))))</f>
        <v/>
      </c>
      <c r="C653">
        <f>IF(Data!A653="","",IF(AND(A653="",B653=""),"Undated",IF(AND(A653&lt;&gt;"",TODAY()&lt;A653),"Upcoming",IF(AND(B653&lt;&gt;"",TODAY()&gt;B653),"Completed","Active"))))</f>
        <v/>
      </c>
    </row>
    <row r="654">
      <c r="A654" s="2">
        <f>IF(Data!A654="","",IF(ISNUMBER(Data!C654),Data!C654,IFERROR(DATEVALUE(Data!C654),IFERROR(DATEVALUE(SUBSTITUTE(Data!C654,"-"," ")),""))))</f>
        <v/>
      </c>
      <c r="B654" s="2">
        <f>IF(Data!A654="","",IF(ISNUMBER(Data!D654),Data!D654,IFERROR(DATEVALUE(Data!D654),IFERROR(DATEVALUE(SUBSTITUTE(Data!D654,"-"," ")),""))))</f>
        <v/>
      </c>
      <c r="C654">
        <f>IF(Data!A654="","",IF(AND(A654="",B654=""),"Undated",IF(AND(A654&lt;&gt;"",TODAY()&lt;A654),"Upcoming",IF(AND(B654&lt;&gt;"",TODAY()&gt;B654),"Completed","Active"))))</f>
        <v/>
      </c>
    </row>
    <row r="655">
      <c r="A655" s="2">
        <f>IF(Data!A655="","",IF(ISNUMBER(Data!C655),Data!C655,IFERROR(DATEVALUE(Data!C655),IFERROR(DATEVALUE(SUBSTITUTE(Data!C655,"-"," ")),""))))</f>
        <v/>
      </c>
      <c r="B655" s="2">
        <f>IF(Data!A655="","",IF(ISNUMBER(Data!D655),Data!D655,IFERROR(DATEVALUE(Data!D655),IFERROR(DATEVALUE(SUBSTITUTE(Data!D655,"-"," ")),""))))</f>
        <v/>
      </c>
      <c r="C655">
        <f>IF(Data!A655="","",IF(AND(A655="",B655=""),"Undated",IF(AND(A655&lt;&gt;"",TODAY()&lt;A655),"Upcoming",IF(AND(B655&lt;&gt;"",TODAY()&gt;B655),"Completed","Active"))))</f>
        <v/>
      </c>
    </row>
    <row r="656">
      <c r="A656" s="2">
        <f>IF(Data!A656="","",IF(ISNUMBER(Data!C656),Data!C656,IFERROR(DATEVALUE(Data!C656),IFERROR(DATEVALUE(SUBSTITUTE(Data!C656,"-"," ")),""))))</f>
        <v/>
      </c>
      <c r="B656" s="2">
        <f>IF(Data!A656="","",IF(ISNUMBER(Data!D656),Data!D656,IFERROR(DATEVALUE(Data!D656),IFERROR(DATEVALUE(SUBSTITUTE(Data!D656,"-"," ")),""))))</f>
        <v/>
      </c>
      <c r="C656">
        <f>IF(Data!A656="","",IF(AND(A656="",B656=""),"Undated",IF(AND(A656&lt;&gt;"",TODAY()&lt;A656),"Upcoming",IF(AND(B656&lt;&gt;"",TODAY()&gt;B656),"Completed","Active"))))</f>
        <v/>
      </c>
    </row>
    <row r="657">
      <c r="A657" s="2">
        <f>IF(Data!A657="","",IF(ISNUMBER(Data!C657),Data!C657,IFERROR(DATEVALUE(Data!C657),IFERROR(DATEVALUE(SUBSTITUTE(Data!C657,"-"," ")),""))))</f>
        <v/>
      </c>
      <c r="B657" s="2">
        <f>IF(Data!A657="","",IF(ISNUMBER(Data!D657),Data!D657,IFERROR(DATEVALUE(Data!D657),IFERROR(DATEVALUE(SUBSTITUTE(Data!D657,"-"," ")),""))))</f>
        <v/>
      </c>
      <c r="C657">
        <f>IF(Data!A657="","",IF(AND(A657="",B657=""),"Undated",IF(AND(A657&lt;&gt;"",TODAY()&lt;A657),"Upcoming",IF(AND(B657&lt;&gt;"",TODAY()&gt;B657),"Completed","Active"))))</f>
        <v/>
      </c>
    </row>
    <row r="658">
      <c r="A658" s="2">
        <f>IF(Data!A658="","",IF(ISNUMBER(Data!C658),Data!C658,IFERROR(DATEVALUE(Data!C658),IFERROR(DATEVALUE(SUBSTITUTE(Data!C658,"-"," ")),""))))</f>
        <v/>
      </c>
      <c r="B658" s="2">
        <f>IF(Data!A658="","",IF(ISNUMBER(Data!D658),Data!D658,IFERROR(DATEVALUE(Data!D658),IFERROR(DATEVALUE(SUBSTITUTE(Data!D658,"-"," ")),""))))</f>
        <v/>
      </c>
      <c r="C658">
        <f>IF(Data!A658="","",IF(AND(A658="",B658=""),"Undated",IF(AND(A658&lt;&gt;"",TODAY()&lt;A658),"Upcoming",IF(AND(B658&lt;&gt;"",TODAY()&gt;B658),"Completed","Active"))))</f>
        <v/>
      </c>
    </row>
    <row r="659">
      <c r="A659" s="2">
        <f>IF(Data!A659="","",IF(ISNUMBER(Data!C659),Data!C659,IFERROR(DATEVALUE(Data!C659),IFERROR(DATEVALUE(SUBSTITUTE(Data!C659,"-"," ")),""))))</f>
        <v/>
      </c>
      <c r="B659" s="2">
        <f>IF(Data!A659="","",IF(ISNUMBER(Data!D659),Data!D659,IFERROR(DATEVALUE(Data!D659),IFERROR(DATEVALUE(SUBSTITUTE(Data!D659,"-"," ")),""))))</f>
        <v/>
      </c>
      <c r="C659">
        <f>IF(Data!A659="","",IF(AND(A659="",B659=""),"Undated",IF(AND(A659&lt;&gt;"",TODAY()&lt;A659),"Upcoming",IF(AND(B659&lt;&gt;"",TODAY()&gt;B659),"Completed","Active"))))</f>
        <v/>
      </c>
    </row>
    <row r="660">
      <c r="A660" s="2">
        <f>IF(Data!A660="","",IF(ISNUMBER(Data!C660),Data!C660,IFERROR(DATEVALUE(Data!C660),IFERROR(DATEVALUE(SUBSTITUTE(Data!C660,"-"," ")),""))))</f>
        <v/>
      </c>
      <c r="B660" s="2">
        <f>IF(Data!A660="","",IF(ISNUMBER(Data!D660),Data!D660,IFERROR(DATEVALUE(Data!D660),IFERROR(DATEVALUE(SUBSTITUTE(Data!D660,"-"," ")),""))))</f>
        <v/>
      </c>
      <c r="C660">
        <f>IF(Data!A660="","",IF(AND(A660="",B660=""),"Undated",IF(AND(A660&lt;&gt;"",TODAY()&lt;A660),"Upcoming",IF(AND(B660&lt;&gt;"",TODAY()&gt;B660),"Completed","Active"))))</f>
        <v/>
      </c>
    </row>
    <row r="661">
      <c r="A661" s="2">
        <f>IF(Data!A661="","",IF(ISNUMBER(Data!C661),Data!C661,IFERROR(DATEVALUE(Data!C661),IFERROR(DATEVALUE(SUBSTITUTE(Data!C661,"-"," ")),""))))</f>
        <v/>
      </c>
      <c r="B661" s="2">
        <f>IF(Data!A661="","",IF(ISNUMBER(Data!D661),Data!D661,IFERROR(DATEVALUE(Data!D661),IFERROR(DATEVALUE(SUBSTITUTE(Data!D661,"-"," ")),""))))</f>
        <v/>
      </c>
      <c r="C661">
        <f>IF(Data!A661="","",IF(AND(A661="",B661=""),"Undated",IF(AND(A661&lt;&gt;"",TODAY()&lt;A661),"Upcoming",IF(AND(B661&lt;&gt;"",TODAY()&gt;B661),"Completed","Active"))))</f>
        <v/>
      </c>
    </row>
    <row r="662">
      <c r="A662" s="2">
        <f>IF(Data!A662="","",IF(ISNUMBER(Data!C662),Data!C662,IFERROR(DATEVALUE(Data!C662),IFERROR(DATEVALUE(SUBSTITUTE(Data!C662,"-"," ")),""))))</f>
        <v/>
      </c>
      <c r="B662" s="2">
        <f>IF(Data!A662="","",IF(ISNUMBER(Data!D662),Data!D662,IFERROR(DATEVALUE(Data!D662),IFERROR(DATEVALUE(SUBSTITUTE(Data!D662,"-"," ")),""))))</f>
        <v/>
      </c>
      <c r="C662">
        <f>IF(Data!A662="","",IF(AND(A662="",B662=""),"Undated",IF(AND(A662&lt;&gt;"",TODAY()&lt;A662),"Upcoming",IF(AND(B662&lt;&gt;"",TODAY()&gt;B662),"Completed","Active"))))</f>
        <v/>
      </c>
    </row>
    <row r="663">
      <c r="A663" s="2">
        <f>IF(Data!A663="","",IF(ISNUMBER(Data!C663),Data!C663,IFERROR(DATEVALUE(Data!C663),IFERROR(DATEVALUE(SUBSTITUTE(Data!C663,"-"," ")),""))))</f>
        <v/>
      </c>
      <c r="B663" s="2">
        <f>IF(Data!A663="","",IF(ISNUMBER(Data!D663),Data!D663,IFERROR(DATEVALUE(Data!D663),IFERROR(DATEVALUE(SUBSTITUTE(Data!D663,"-"," ")),""))))</f>
        <v/>
      </c>
      <c r="C663">
        <f>IF(Data!A663="","",IF(AND(A663="",B663=""),"Undated",IF(AND(A663&lt;&gt;"",TODAY()&lt;A663),"Upcoming",IF(AND(B663&lt;&gt;"",TODAY()&gt;B663),"Completed","Active"))))</f>
        <v/>
      </c>
    </row>
    <row r="664">
      <c r="A664" s="2">
        <f>IF(Data!A664="","",IF(ISNUMBER(Data!C664),Data!C664,IFERROR(DATEVALUE(Data!C664),IFERROR(DATEVALUE(SUBSTITUTE(Data!C664,"-"," ")),""))))</f>
        <v/>
      </c>
      <c r="B664" s="2">
        <f>IF(Data!A664="","",IF(ISNUMBER(Data!D664),Data!D664,IFERROR(DATEVALUE(Data!D664),IFERROR(DATEVALUE(SUBSTITUTE(Data!D664,"-"," ")),""))))</f>
        <v/>
      </c>
      <c r="C664">
        <f>IF(Data!A664="","",IF(AND(A664="",B664=""),"Undated",IF(AND(A664&lt;&gt;"",TODAY()&lt;A664),"Upcoming",IF(AND(B664&lt;&gt;"",TODAY()&gt;B664),"Completed","Active"))))</f>
        <v/>
      </c>
    </row>
    <row r="665">
      <c r="A665" s="2">
        <f>IF(Data!A665="","",IF(ISNUMBER(Data!C665),Data!C665,IFERROR(DATEVALUE(Data!C665),IFERROR(DATEVALUE(SUBSTITUTE(Data!C665,"-"," ")),""))))</f>
        <v/>
      </c>
      <c r="B665" s="2">
        <f>IF(Data!A665="","",IF(ISNUMBER(Data!D665),Data!D665,IFERROR(DATEVALUE(Data!D665),IFERROR(DATEVALUE(SUBSTITUTE(Data!D665,"-"," ")),""))))</f>
        <v/>
      </c>
      <c r="C665">
        <f>IF(Data!A665="","",IF(AND(A665="",B665=""),"Undated",IF(AND(A665&lt;&gt;"",TODAY()&lt;A665),"Upcoming",IF(AND(B665&lt;&gt;"",TODAY()&gt;B665),"Completed","Active"))))</f>
        <v/>
      </c>
    </row>
    <row r="666">
      <c r="A666" s="2">
        <f>IF(Data!A666="","",IF(ISNUMBER(Data!C666),Data!C666,IFERROR(DATEVALUE(Data!C666),IFERROR(DATEVALUE(SUBSTITUTE(Data!C666,"-"," ")),""))))</f>
        <v/>
      </c>
      <c r="B666" s="2">
        <f>IF(Data!A666="","",IF(ISNUMBER(Data!D666),Data!D666,IFERROR(DATEVALUE(Data!D666),IFERROR(DATEVALUE(SUBSTITUTE(Data!D666,"-"," ")),""))))</f>
        <v/>
      </c>
      <c r="C666">
        <f>IF(Data!A666="","",IF(AND(A666="",B666=""),"Undated",IF(AND(A666&lt;&gt;"",TODAY()&lt;A666),"Upcoming",IF(AND(B666&lt;&gt;"",TODAY()&gt;B666),"Completed","Active"))))</f>
        <v/>
      </c>
    </row>
    <row r="667">
      <c r="A667" s="2">
        <f>IF(Data!A667="","",IF(ISNUMBER(Data!C667),Data!C667,IFERROR(DATEVALUE(Data!C667),IFERROR(DATEVALUE(SUBSTITUTE(Data!C667,"-"," ")),""))))</f>
        <v/>
      </c>
      <c r="B667" s="2">
        <f>IF(Data!A667="","",IF(ISNUMBER(Data!D667),Data!D667,IFERROR(DATEVALUE(Data!D667),IFERROR(DATEVALUE(SUBSTITUTE(Data!D667,"-"," ")),""))))</f>
        <v/>
      </c>
      <c r="C667">
        <f>IF(Data!A667="","",IF(AND(A667="",B667=""),"Undated",IF(AND(A667&lt;&gt;"",TODAY()&lt;A667),"Upcoming",IF(AND(B667&lt;&gt;"",TODAY()&gt;B667),"Completed","Active"))))</f>
        <v/>
      </c>
    </row>
    <row r="668">
      <c r="A668" s="2">
        <f>IF(Data!A668="","",IF(ISNUMBER(Data!C668),Data!C668,IFERROR(DATEVALUE(Data!C668),IFERROR(DATEVALUE(SUBSTITUTE(Data!C668,"-"," ")),""))))</f>
        <v/>
      </c>
      <c r="B668" s="2">
        <f>IF(Data!A668="","",IF(ISNUMBER(Data!D668),Data!D668,IFERROR(DATEVALUE(Data!D668),IFERROR(DATEVALUE(SUBSTITUTE(Data!D668,"-"," ")),""))))</f>
        <v/>
      </c>
      <c r="C668">
        <f>IF(Data!A668="","",IF(AND(A668="",B668=""),"Undated",IF(AND(A668&lt;&gt;"",TODAY()&lt;A668),"Upcoming",IF(AND(B668&lt;&gt;"",TODAY()&gt;B668),"Completed","Active"))))</f>
        <v/>
      </c>
    </row>
    <row r="669">
      <c r="A669" s="2">
        <f>IF(Data!A669="","",IF(ISNUMBER(Data!C669),Data!C669,IFERROR(DATEVALUE(Data!C669),IFERROR(DATEVALUE(SUBSTITUTE(Data!C669,"-"," ")),""))))</f>
        <v/>
      </c>
      <c r="B669" s="2">
        <f>IF(Data!A669="","",IF(ISNUMBER(Data!D669),Data!D669,IFERROR(DATEVALUE(Data!D669),IFERROR(DATEVALUE(SUBSTITUTE(Data!D669,"-"," ")),""))))</f>
        <v/>
      </c>
      <c r="C669">
        <f>IF(Data!A669="","",IF(AND(A669="",B669=""),"Undated",IF(AND(A669&lt;&gt;"",TODAY()&lt;A669),"Upcoming",IF(AND(B669&lt;&gt;"",TODAY()&gt;B669),"Completed","Active"))))</f>
        <v/>
      </c>
    </row>
    <row r="670">
      <c r="A670" s="2">
        <f>IF(Data!A670="","",IF(ISNUMBER(Data!C670),Data!C670,IFERROR(DATEVALUE(Data!C670),IFERROR(DATEVALUE(SUBSTITUTE(Data!C670,"-"," ")),""))))</f>
        <v/>
      </c>
      <c r="B670" s="2">
        <f>IF(Data!A670="","",IF(ISNUMBER(Data!D670),Data!D670,IFERROR(DATEVALUE(Data!D670),IFERROR(DATEVALUE(SUBSTITUTE(Data!D670,"-"," ")),""))))</f>
        <v/>
      </c>
      <c r="C670">
        <f>IF(Data!A670="","",IF(AND(A670="",B670=""),"Undated",IF(AND(A670&lt;&gt;"",TODAY()&lt;A670),"Upcoming",IF(AND(B670&lt;&gt;"",TODAY()&gt;B670),"Completed","Active"))))</f>
        <v/>
      </c>
    </row>
    <row r="671">
      <c r="A671" s="2">
        <f>IF(Data!A671="","",IF(ISNUMBER(Data!C671),Data!C671,IFERROR(DATEVALUE(Data!C671),IFERROR(DATEVALUE(SUBSTITUTE(Data!C671,"-"," ")),""))))</f>
        <v/>
      </c>
      <c r="B671" s="2">
        <f>IF(Data!A671="","",IF(ISNUMBER(Data!D671),Data!D671,IFERROR(DATEVALUE(Data!D671),IFERROR(DATEVALUE(SUBSTITUTE(Data!D671,"-"," ")),""))))</f>
        <v/>
      </c>
      <c r="C671">
        <f>IF(Data!A671="","",IF(AND(A671="",B671=""),"Undated",IF(AND(A671&lt;&gt;"",TODAY()&lt;A671),"Upcoming",IF(AND(B671&lt;&gt;"",TODAY()&gt;B671),"Completed","Active"))))</f>
        <v/>
      </c>
    </row>
    <row r="672">
      <c r="A672" s="2">
        <f>IF(Data!A672="","",IF(ISNUMBER(Data!C672),Data!C672,IFERROR(DATEVALUE(Data!C672),IFERROR(DATEVALUE(SUBSTITUTE(Data!C672,"-"," ")),""))))</f>
        <v/>
      </c>
      <c r="B672" s="2">
        <f>IF(Data!A672="","",IF(ISNUMBER(Data!D672),Data!D672,IFERROR(DATEVALUE(Data!D672),IFERROR(DATEVALUE(SUBSTITUTE(Data!D672,"-"," ")),""))))</f>
        <v/>
      </c>
      <c r="C672">
        <f>IF(Data!A672="","",IF(AND(A672="",B672=""),"Undated",IF(AND(A672&lt;&gt;"",TODAY()&lt;A672),"Upcoming",IF(AND(B672&lt;&gt;"",TODAY()&gt;B672),"Completed","Active"))))</f>
        <v/>
      </c>
    </row>
    <row r="673">
      <c r="A673" s="2">
        <f>IF(Data!A673="","",IF(ISNUMBER(Data!C673),Data!C673,IFERROR(DATEVALUE(Data!C673),IFERROR(DATEVALUE(SUBSTITUTE(Data!C673,"-"," ")),""))))</f>
        <v/>
      </c>
      <c r="B673" s="2">
        <f>IF(Data!A673="","",IF(ISNUMBER(Data!D673),Data!D673,IFERROR(DATEVALUE(Data!D673),IFERROR(DATEVALUE(SUBSTITUTE(Data!D673,"-"," ")),""))))</f>
        <v/>
      </c>
      <c r="C673">
        <f>IF(Data!A673="","",IF(AND(A673="",B673=""),"Undated",IF(AND(A673&lt;&gt;"",TODAY()&lt;A673),"Upcoming",IF(AND(B673&lt;&gt;"",TODAY()&gt;B673),"Completed","Active"))))</f>
        <v/>
      </c>
    </row>
    <row r="674">
      <c r="A674" s="2">
        <f>IF(Data!A674="","",IF(ISNUMBER(Data!C674),Data!C674,IFERROR(DATEVALUE(Data!C674),IFERROR(DATEVALUE(SUBSTITUTE(Data!C674,"-"," ")),""))))</f>
        <v/>
      </c>
      <c r="B674" s="2">
        <f>IF(Data!A674="","",IF(ISNUMBER(Data!D674),Data!D674,IFERROR(DATEVALUE(Data!D674),IFERROR(DATEVALUE(SUBSTITUTE(Data!D674,"-"," ")),""))))</f>
        <v/>
      </c>
      <c r="C674">
        <f>IF(Data!A674="","",IF(AND(A674="",B674=""),"Undated",IF(AND(A674&lt;&gt;"",TODAY()&lt;A674),"Upcoming",IF(AND(B674&lt;&gt;"",TODAY()&gt;B674),"Completed","Active"))))</f>
        <v/>
      </c>
    </row>
    <row r="675">
      <c r="A675" s="2">
        <f>IF(Data!A675="","",IF(ISNUMBER(Data!C675),Data!C675,IFERROR(DATEVALUE(Data!C675),IFERROR(DATEVALUE(SUBSTITUTE(Data!C675,"-"," ")),""))))</f>
        <v/>
      </c>
      <c r="B675" s="2">
        <f>IF(Data!A675="","",IF(ISNUMBER(Data!D675),Data!D675,IFERROR(DATEVALUE(Data!D675),IFERROR(DATEVALUE(SUBSTITUTE(Data!D675,"-"," ")),""))))</f>
        <v/>
      </c>
      <c r="C675">
        <f>IF(Data!A675="","",IF(AND(A675="",B675=""),"Undated",IF(AND(A675&lt;&gt;"",TODAY()&lt;A675),"Upcoming",IF(AND(B675&lt;&gt;"",TODAY()&gt;B675),"Completed","Active"))))</f>
        <v/>
      </c>
    </row>
    <row r="676">
      <c r="A676" s="2">
        <f>IF(Data!A676="","",IF(ISNUMBER(Data!C676),Data!C676,IFERROR(DATEVALUE(Data!C676),IFERROR(DATEVALUE(SUBSTITUTE(Data!C676,"-"," ")),""))))</f>
        <v/>
      </c>
      <c r="B676" s="2">
        <f>IF(Data!A676="","",IF(ISNUMBER(Data!D676),Data!D676,IFERROR(DATEVALUE(Data!D676),IFERROR(DATEVALUE(SUBSTITUTE(Data!D676,"-"," ")),""))))</f>
        <v/>
      </c>
      <c r="C676">
        <f>IF(Data!A676="","",IF(AND(A676="",B676=""),"Undated",IF(AND(A676&lt;&gt;"",TODAY()&lt;A676),"Upcoming",IF(AND(B676&lt;&gt;"",TODAY()&gt;B676),"Completed","Active"))))</f>
        <v/>
      </c>
    </row>
    <row r="677">
      <c r="A677" s="2">
        <f>IF(Data!A677="","",IF(ISNUMBER(Data!C677),Data!C677,IFERROR(DATEVALUE(Data!C677),IFERROR(DATEVALUE(SUBSTITUTE(Data!C677,"-"," ")),""))))</f>
        <v/>
      </c>
      <c r="B677" s="2">
        <f>IF(Data!A677="","",IF(ISNUMBER(Data!D677),Data!D677,IFERROR(DATEVALUE(Data!D677),IFERROR(DATEVALUE(SUBSTITUTE(Data!D677,"-"," ")),""))))</f>
        <v/>
      </c>
      <c r="C677">
        <f>IF(Data!A677="","",IF(AND(A677="",B677=""),"Undated",IF(AND(A677&lt;&gt;"",TODAY()&lt;A677),"Upcoming",IF(AND(B677&lt;&gt;"",TODAY()&gt;B677),"Completed","Active"))))</f>
        <v/>
      </c>
    </row>
    <row r="678">
      <c r="A678" s="2">
        <f>IF(Data!A678="","",IF(ISNUMBER(Data!C678),Data!C678,IFERROR(DATEVALUE(Data!C678),IFERROR(DATEVALUE(SUBSTITUTE(Data!C678,"-"," ")),""))))</f>
        <v/>
      </c>
      <c r="B678" s="2">
        <f>IF(Data!A678="","",IF(ISNUMBER(Data!D678),Data!D678,IFERROR(DATEVALUE(Data!D678),IFERROR(DATEVALUE(SUBSTITUTE(Data!D678,"-"," ")),""))))</f>
        <v/>
      </c>
      <c r="C678">
        <f>IF(Data!A678="","",IF(AND(A678="",B678=""),"Undated",IF(AND(A678&lt;&gt;"",TODAY()&lt;A678),"Upcoming",IF(AND(B678&lt;&gt;"",TODAY()&gt;B678),"Completed","Active"))))</f>
        <v/>
      </c>
    </row>
    <row r="679">
      <c r="A679" s="2">
        <f>IF(Data!A679="","",IF(ISNUMBER(Data!C679),Data!C679,IFERROR(DATEVALUE(Data!C679),IFERROR(DATEVALUE(SUBSTITUTE(Data!C679,"-"," ")),""))))</f>
        <v/>
      </c>
      <c r="B679" s="2">
        <f>IF(Data!A679="","",IF(ISNUMBER(Data!D679),Data!D679,IFERROR(DATEVALUE(Data!D679),IFERROR(DATEVALUE(SUBSTITUTE(Data!D679,"-"," ")),""))))</f>
        <v/>
      </c>
      <c r="C679">
        <f>IF(Data!A679="","",IF(AND(A679="",B679=""),"Undated",IF(AND(A679&lt;&gt;"",TODAY()&lt;A679),"Upcoming",IF(AND(B679&lt;&gt;"",TODAY()&gt;B679),"Completed","Active"))))</f>
        <v/>
      </c>
    </row>
    <row r="680">
      <c r="A680" s="2">
        <f>IF(Data!A680="","",IF(ISNUMBER(Data!C680),Data!C680,IFERROR(DATEVALUE(Data!C680),IFERROR(DATEVALUE(SUBSTITUTE(Data!C680,"-"," ")),""))))</f>
        <v/>
      </c>
      <c r="B680" s="2">
        <f>IF(Data!A680="","",IF(ISNUMBER(Data!D680),Data!D680,IFERROR(DATEVALUE(Data!D680),IFERROR(DATEVALUE(SUBSTITUTE(Data!D680,"-"," ")),""))))</f>
        <v/>
      </c>
      <c r="C680">
        <f>IF(Data!A680="","",IF(AND(A680="",B680=""),"Undated",IF(AND(A680&lt;&gt;"",TODAY()&lt;A680),"Upcoming",IF(AND(B680&lt;&gt;"",TODAY()&gt;B680),"Completed","Active"))))</f>
        <v/>
      </c>
    </row>
    <row r="681">
      <c r="A681" s="2">
        <f>IF(Data!A681="","",IF(ISNUMBER(Data!C681),Data!C681,IFERROR(DATEVALUE(Data!C681),IFERROR(DATEVALUE(SUBSTITUTE(Data!C681,"-"," ")),""))))</f>
        <v/>
      </c>
      <c r="B681" s="2">
        <f>IF(Data!A681="","",IF(ISNUMBER(Data!D681),Data!D681,IFERROR(DATEVALUE(Data!D681),IFERROR(DATEVALUE(SUBSTITUTE(Data!D681,"-"," ")),""))))</f>
        <v/>
      </c>
      <c r="C681">
        <f>IF(Data!A681="","",IF(AND(A681="",B681=""),"Undated",IF(AND(A681&lt;&gt;"",TODAY()&lt;A681),"Upcoming",IF(AND(B681&lt;&gt;"",TODAY()&gt;B681),"Completed","Active"))))</f>
        <v/>
      </c>
    </row>
    <row r="682">
      <c r="A682" s="2">
        <f>IF(Data!A682="","",IF(ISNUMBER(Data!C682),Data!C682,IFERROR(DATEVALUE(Data!C682),IFERROR(DATEVALUE(SUBSTITUTE(Data!C682,"-"," ")),""))))</f>
        <v/>
      </c>
      <c r="B682" s="2">
        <f>IF(Data!A682="","",IF(ISNUMBER(Data!D682),Data!D682,IFERROR(DATEVALUE(Data!D682),IFERROR(DATEVALUE(SUBSTITUTE(Data!D682,"-"," ")),""))))</f>
        <v/>
      </c>
      <c r="C682">
        <f>IF(Data!A682="","",IF(AND(A682="",B682=""),"Undated",IF(AND(A682&lt;&gt;"",TODAY()&lt;A682),"Upcoming",IF(AND(B682&lt;&gt;"",TODAY()&gt;B682),"Completed","Active"))))</f>
        <v/>
      </c>
    </row>
    <row r="683">
      <c r="A683" s="2">
        <f>IF(Data!A683="","",IF(ISNUMBER(Data!C683),Data!C683,IFERROR(DATEVALUE(Data!C683),IFERROR(DATEVALUE(SUBSTITUTE(Data!C683,"-"," ")),""))))</f>
        <v/>
      </c>
      <c r="B683" s="2">
        <f>IF(Data!A683="","",IF(ISNUMBER(Data!D683),Data!D683,IFERROR(DATEVALUE(Data!D683),IFERROR(DATEVALUE(SUBSTITUTE(Data!D683,"-"," ")),""))))</f>
        <v/>
      </c>
      <c r="C683">
        <f>IF(Data!A683="","",IF(AND(A683="",B683=""),"Undated",IF(AND(A683&lt;&gt;"",TODAY()&lt;A683),"Upcoming",IF(AND(B683&lt;&gt;"",TODAY()&gt;B683),"Completed","Active"))))</f>
        <v/>
      </c>
    </row>
    <row r="684">
      <c r="A684" s="2">
        <f>IF(Data!A684="","",IF(ISNUMBER(Data!C684),Data!C684,IFERROR(DATEVALUE(Data!C684),IFERROR(DATEVALUE(SUBSTITUTE(Data!C684,"-"," ")),""))))</f>
        <v/>
      </c>
      <c r="B684" s="2">
        <f>IF(Data!A684="","",IF(ISNUMBER(Data!D684),Data!D684,IFERROR(DATEVALUE(Data!D684),IFERROR(DATEVALUE(SUBSTITUTE(Data!D684,"-"," ")),""))))</f>
        <v/>
      </c>
      <c r="C684">
        <f>IF(Data!A684="","",IF(AND(A684="",B684=""),"Undated",IF(AND(A684&lt;&gt;"",TODAY()&lt;A684),"Upcoming",IF(AND(B684&lt;&gt;"",TODAY()&gt;B684),"Completed","Active"))))</f>
        <v/>
      </c>
    </row>
    <row r="685">
      <c r="A685" s="2">
        <f>IF(Data!A685="","",IF(ISNUMBER(Data!C685),Data!C685,IFERROR(DATEVALUE(Data!C685),IFERROR(DATEVALUE(SUBSTITUTE(Data!C685,"-"," ")),""))))</f>
        <v/>
      </c>
      <c r="B685" s="2">
        <f>IF(Data!A685="","",IF(ISNUMBER(Data!D685),Data!D685,IFERROR(DATEVALUE(Data!D685),IFERROR(DATEVALUE(SUBSTITUTE(Data!D685,"-"," ")),""))))</f>
        <v/>
      </c>
      <c r="C685">
        <f>IF(Data!A685="","",IF(AND(A685="",B685=""),"Undated",IF(AND(A685&lt;&gt;"",TODAY()&lt;A685),"Upcoming",IF(AND(B685&lt;&gt;"",TODAY()&gt;B685),"Completed","Active"))))</f>
        <v/>
      </c>
    </row>
    <row r="686">
      <c r="A686" s="2">
        <f>IF(Data!A686="","",IF(ISNUMBER(Data!C686),Data!C686,IFERROR(DATEVALUE(Data!C686),IFERROR(DATEVALUE(SUBSTITUTE(Data!C686,"-"," ")),""))))</f>
        <v/>
      </c>
      <c r="B686" s="2">
        <f>IF(Data!A686="","",IF(ISNUMBER(Data!D686),Data!D686,IFERROR(DATEVALUE(Data!D686),IFERROR(DATEVALUE(SUBSTITUTE(Data!D686,"-"," ")),""))))</f>
        <v/>
      </c>
      <c r="C686">
        <f>IF(Data!A686="","",IF(AND(A686="",B686=""),"Undated",IF(AND(A686&lt;&gt;"",TODAY()&lt;A686),"Upcoming",IF(AND(B686&lt;&gt;"",TODAY()&gt;B686),"Completed","Active"))))</f>
        <v/>
      </c>
    </row>
    <row r="687">
      <c r="A687" s="2">
        <f>IF(Data!A687="","",IF(ISNUMBER(Data!C687),Data!C687,IFERROR(DATEVALUE(Data!C687),IFERROR(DATEVALUE(SUBSTITUTE(Data!C687,"-"," ")),""))))</f>
        <v/>
      </c>
      <c r="B687" s="2">
        <f>IF(Data!A687="","",IF(ISNUMBER(Data!D687),Data!D687,IFERROR(DATEVALUE(Data!D687),IFERROR(DATEVALUE(SUBSTITUTE(Data!D687,"-"," ")),""))))</f>
        <v/>
      </c>
      <c r="C687">
        <f>IF(Data!A687="","",IF(AND(A687="",B687=""),"Undated",IF(AND(A687&lt;&gt;"",TODAY()&lt;A687),"Upcoming",IF(AND(B687&lt;&gt;"",TODAY()&gt;B687),"Completed","Active"))))</f>
        <v/>
      </c>
    </row>
    <row r="688">
      <c r="A688" s="2">
        <f>IF(Data!A688="","",IF(ISNUMBER(Data!C688),Data!C688,IFERROR(DATEVALUE(Data!C688),IFERROR(DATEVALUE(SUBSTITUTE(Data!C688,"-"," ")),""))))</f>
        <v/>
      </c>
      <c r="B688" s="2">
        <f>IF(Data!A688="","",IF(ISNUMBER(Data!D688),Data!D688,IFERROR(DATEVALUE(Data!D688),IFERROR(DATEVALUE(SUBSTITUTE(Data!D688,"-"," ")),""))))</f>
        <v/>
      </c>
      <c r="C688">
        <f>IF(Data!A688="","",IF(AND(A688="",B688=""),"Undated",IF(AND(A688&lt;&gt;"",TODAY()&lt;A688),"Upcoming",IF(AND(B688&lt;&gt;"",TODAY()&gt;B688),"Completed","Active"))))</f>
        <v/>
      </c>
    </row>
    <row r="689">
      <c r="A689" s="2">
        <f>IF(Data!A689="","",IF(ISNUMBER(Data!C689),Data!C689,IFERROR(DATEVALUE(Data!C689),IFERROR(DATEVALUE(SUBSTITUTE(Data!C689,"-"," ")),""))))</f>
        <v/>
      </c>
      <c r="B689" s="2">
        <f>IF(Data!A689="","",IF(ISNUMBER(Data!D689),Data!D689,IFERROR(DATEVALUE(Data!D689),IFERROR(DATEVALUE(SUBSTITUTE(Data!D689,"-"," ")),""))))</f>
        <v/>
      </c>
      <c r="C689">
        <f>IF(Data!A689="","",IF(AND(A689="",B689=""),"Undated",IF(AND(A689&lt;&gt;"",TODAY()&lt;A689),"Upcoming",IF(AND(B689&lt;&gt;"",TODAY()&gt;B689),"Completed","Active"))))</f>
        <v/>
      </c>
    </row>
    <row r="690">
      <c r="A690" s="2">
        <f>IF(Data!A690="","",IF(ISNUMBER(Data!C690),Data!C690,IFERROR(DATEVALUE(Data!C690),IFERROR(DATEVALUE(SUBSTITUTE(Data!C690,"-"," ")),""))))</f>
        <v/>
      </c>
      <c r="B690" s="2">
        <f>IF(Data!A690="","",IF(ISNUMBER(Data!D690),Data!D690,IFERROR(DATEVALUE(Data!D690),IFERROR(DATEVALUE(SUBSTITUTE(Data!D690,"-"," ")),""))))</f>
        <v/>
      </c>
      <c r="C690">
        <f>IF(Data!A690="","",IF(AND(A690="",B690=""),"Undated",IF(AND(A690&lt;&gt;"",TODAY()&lt;A690),"Upcoming",IF(AND(B690&lt;&gt;"",TODAY()&gt;B690),"Completed","Active"))))</f>
        <v/>
      </c>
    </row>
    <row r="691">
      <c r="A691" s="2">
        <f>IF(Data!A691="","",IF(ISNUMBER(Data!C691),Data!C691,IFERROR(DATEVALUE(Data!C691),IFERROR(DATEVALUE(SUBSTITUTE(Data!C691,"-"," ")),""))))</f>
        <v/>
      </c>
      <c r="B691" s="2">
        <f>IF(Data!A691="","",IF(ISNUMBER(Data!D691),Data!D691,IFERROR(DATEVALUE(Data!D691),IFERROR(DATEVALUE(SUBSTITUTE(Data!D691,"-"," ")),""))))</f>
        <v/>
      </c>
      <c r="C691">
        <f>IF(Data!A691="","",IF(AND(A691="",B691=""),"Undated",IF(AND(A691&lt;&gt;"",TODAY()&lt;A691),"Upcoming",IF(AND(B691&lt;&gt;"",TODAY()&gt;B691),"Completed","Active"))))</f>
        <v/>
      </c>
    </row>
    <row r="692">
      <c r="A692" s="2">
        <f>IF(Data!A692="","",IF(ISNUMBER(Data!C692),Data!C692,IFERROR(DATEVALUE(Data!C692),IFERROR(DATEVALUE(SUBSTITUTE(Data!C692,"-"," ")),""))))</f>
        <v/>
      </c>
      <c r="B692" s="2">
        <f>IF(Data!A692="","",IF(ISNUMBER(Data!D692),Data!D692,IFERROR(DATEVALUE(Data!D692),IFERROR(DATEVALUE(SUBSTITUTE(Data!D692,"-"," ")),""))))</f>
        <v/>
      </c>
      <c r="C692">
        <f>IF(Data!A692="","",IF(AND(A692="",B692=""),"Undated",IF(AND(A692&lt;&gt;"",TODAY()&lt;A692),"Upcoming",IF(AND(B692&lt;&gt;"",TODAY()&gt;B692),"Completed","Active"))))</f>
        <v/>
      </c>
    </row>
    <row r="693">
      <c r="A693" s="2">
        <f>IF(Data!A693="","",IF(ISNUMBER(Data!C693),Data!C693,IFERROR(DATEVALUE(Data!C693),IFERROR(DATEVALUE(SUBSTITUTE(Data!C693,"-"," ")),""))))</f>
        <v/>
      </c>
      <c r="B693" s="2">
        <f>IF(Data!A693="","",IF(ISNUMBER(Data!D693),Data!D693,IFERROR(DATEVALUE(Data!D693),IFERROR(DATEVALUE(SUBSTITUTE(Data!D693,"-"," ")),""))))</f>
        <v/>
      </c>
      <c r="C693">
        <f>IF(Data!A693="","",IF(AND(A693="",B693=""),"Undated",IF(AND(A693&lt;&gt;"",TODAY()&lt;A693),"Upcoming",IF(AND(B693&lt;&gt;"",TODAY()&gt;B693),"Completed","Active"))))</f>
        <v/>
      </c>
    </row>
    <row r="694">
      <c r="A694" s="2">
        <f>IF(Data!A694="","",IF(ISNUMBER(Data!C694),Data!C694,IFERROR(DATEVALUE(Data!C694),IFERROR(DATEVALUE(SUBSTITUTE(Data!C694,"-"," ")),""))))</f>
        <v/>
      </c>
      <c r="B694" s="2">
        <f>IF(Data!A694="","",IF(ISNUMBER(Data!D694),Data!D694,IFERROR(DATEVALUE(Data!D694),IFERROR(DATEVALUE(SUBSTITUTE(Data!D694,"-"," ")),""))))</f>
        <v/>
      </c>
      <c r="C694">
        <f>IF(Data!A694="","",IF(AND(A694="",B694=""),"Undated",IF(AND(A694&lt;&gt;"",TODAY()&lt;A694),"Upcoming",IF(AND(B694&lt;&gt;"",TODAY()&gt;B694),"Completed","Active"))))</f>
        <v/>
      </c>
    </row>
    <row r="695">
      <c r="A695" s="2">
        <f>IF(Data!A695="","",IF(ISNUMBER(Data!C695),Data!C695,IFERROR(DATEVALUE(Data!C695),IFERROR(DATEVALUE(SUBSTITUTE(Data!C695,"-"," ")),""))))</f>
        <v/>
      </c>
      <c r="B695" s="2">
        <f>IF(Data!A695="","",IF(ISNUMBER(Data!D695),Data!D695,IFERROR(DATEVALUE(Data!D695),IFERROR(DATEVALUE(SUBSTITUTE(Data!D695,"-"," ")),""))))</f>
        <v/>
      </c>
      <c r="C695">
        <f>IF(Data!A695="","",IF(AND(A695="",B695=""),"Undated",IF(AND(A695&lt;&gt;"",TODAY()&lt;A695),"Upcoming",IF(AND(B695&lt;&gt;"",TODAY()&gt;B695),"Completed","Active"))))</f>
        <v/>
      </c>
    </row>
    <row r="696">
      <c r="A696" s="2">
        <f>IF(Data!A696="","",IF(ISNUMBER(Data!C696),Data!C696,IFERROR(DATEVALUE(Data!C696),IFERROR(DATEVALUE(SUBSTITUTE(Data!C696,"-"," ")),""))))</f>
        <v/>
      </c>
      <c r="B696" s="2">
        <f>IF(Data!A696="","",IF(ISNUMBER(Data!D696),Data!D696,IFERROR(DATEVALUE(Data!D696),IFERROR(DATEVALUE(SUBSTITUTE(Data!D696,"-"," ")),""))))</f>
        <v/>
      </c>
      <c r="C696">
        <f>IF(Data!A696="","",IF(AND(A696="",B696=""),"Undated",IF(AND(A696&lt;&gt;"",TODAY()&lt;A696),"Upcoming",IF(AND(B696&lt;&gt;"",TODAY()&gt;B696),"Completed","Active"))))</f>
        <v/>
      </c>
    </row>
    <row r="697">
      <c r="A697" s="2">
        <f>IF(Data!A697="","",IF(ISNUMBER(Data!C697),Data!C697,IFERROR(DATEVALUE(Data!C697),IFERROR(DATEVALUE(SUBSTITUTE(Data!C697,"-"," ")),""))))</f>
        <v/>
      </c>
      <c r="B697" s="2">
        <f>IF(Data!A697="","",IF(ISNUMBER(Data!D697),Data!D697,IFERROR(DATEVALUE(Data!D697),IFERROR(DATEVALUE(SUBSTITUTE(Data!D697,"-"," ")),""))))</f>
        <v/>
      </c>
      <c r="C697">
        <f>IF(Data!A697="","",IF(AND(A697="",B697=""),"Undated",IF(AND(A697&lt;&gt;"",TODAY()&lt;A697),"Upcoming",IF(AND(B697&lt;&gt;"",TODAY()&gt;B697),"Completed","Active"))))</f>
        <v/>
      </c>
    </row>
    <row r="698">
      <c r="A698" s="2">
        <f>IF(Data!A698="","",IF(ISNUMBER(Data!C698),Data!C698,IFERROR(DATEVALUE(Data!C698),IFERROR(DATEVALUE(SUBSTITUTE(Data!C698,"-"," ")),""))))</f>
        <v/>
      </c>
      <c r="B698" s="2">
        <f>IF(Data!A698="","",IF(ISNUMBER(Data!D698),Data!D698,IFERROR(DATEVALUE(Data!D698),IFERROR(DATEVALUE(SUBSTITUTE(Data!D698,"-"," ")),""))))</f>
        <v/>
      </c>
      <c r="C698">
        <f>IF(Data!A698="","",IF(AND(A698="",B698=""),"Undated",IF(AND(A698&lt;&gt;"",TODAY()&lt;A698),"Upcoming",IF(AND(B698&lt;&gt;"",TODAY()&gt;B698),"Completed","Active"))))</f>
        <v/>
      </c>
    </row>
    <row r="699">
      <c r="A699" s="2">
        <f>IF(Data!A699="","",IF(ISNUMBER(Data!C699),Data!C699,IFERROR(DATEVALUE(Data!C699),IFERROR(DATEVALUE(SUBSTITUTE(Data!C699,"-"," ")),""))))</f>
        <v/>
      </c>
      <c r="B699" s="2">
        <f>IF(Data!A699="","",IF(ISNUMBER(Data!D699),Data!D699,IFERROR(DATEVALUE(Data!D699),IFERROR(DATEVALUE(SUBSTITUTE(Data!D699,"-"," ")),""))))</f>
        <v/>
      </c>
      <c r="C699">
        <f>IF(Data!A699="","",IF(AND(A699="",B699=""),"Undated",IF(AND(A699&lt;&gt;"",TODAY()&lt;A699),"Upcoming",IF(AND(B699&lt;&gt;"",TODAY()&gt;B699),"Completed","Active"))))</f>
        <v/>
      </c>
    </row>
    <row r="700">
      <c r="A700" s="2">
        <f>IF(Data!A700="","",IF(ISNUMBER(Data!C700),Data!C700,IFERROR(DATEVALUE(Data!C700),IFERROR(DATEVALUE(SUBSTITUTE(Data!C700,"-"," ")),""))))</f>
        <v/>
      </c>
      <c r="B700" s="2">
        <f>IF(Data!A700="","",IF(ISNUMBER(Data!D700),Data!D700,IFERROR(DATEVALUE(Data!D700),IFERROR(DATEVALUE(SUBSTITUTE(Data!D700,"-"," ")),""))))</f>
        <v/>
      </c>
      <c r="C700">
        <f>IF(Data!A700="","",IF(AND(A700="",B700=""),"Undated",IF(AND(A700&lt;&gt;"",TODAY()&lt;A700),"Upcoming",IF(AND(B700&lt;&gt;"",TODAY()&gt;B700),"Completed","Active"))))</f>
        <v/>
      </c>
    </row>
    <row r="701">
      <c r="A701" s="2">
        <f>IF(Data!A701="","",IF(ISNUMBER(Data!C701),Data!C701,IFERROR(DATEVALUE(Data!C701),IFERROR(DATEVALUE(SUBSTITUTE(Data!C701,"-"," ")),""))))</f>
        <v/>
      </c>
      <c r="B701" s="2">
        <f>IF(Data!A701="","",IF(ISNUMBER(Data!D701),Data!D701,IFERROR(DATEVALUE(Data!D701),IFERROR(DATEVALUE(SUBSTITUTE(Data!D701,"-"," ")),""))))</f>
        <v/>
      </c>
      <c r="C701">
        <f>IF(Data!A701="","",IF(AND(A701="",B701=""),"Undated",IF(AND(A701&lt;&gt;"",TODAY()&lt;A701),"Upcoming",IF(AND(B701&lt;&gt;"",TODAY()&gt;B701),"Completed","Active"))))</f>
        <v/>
      </c>
    </row>
    <row r="702">
      <c r="A702" s="2">
        <f>IF(Data!A702="","",IF(ISNUMBER(Data!C702),Data!C702,IFERROR(DATEVALUE(Data!C702),IFERROR(DATEVALUE(SUBSTITUTE(Data!C702,"-"," ")),""))))</f>
        <v/>
      </c>
      <c r="B702" s="2">
        <f>IF(Data!A702="","",IF(ISNUMBER(Data!D702),Data!D702,IFERROR(DATEVALUE(Data!D702),IFERROR(DATEVALUE(SUBSTITUTE(Data!D702,"-"," ")),""))))</f>
        <v/>
      </c>
      <c r="C702">
        <f>IF(Data!A702="","",IF(AND(A702="",B702=""),"Undated",IF(AND(A702&lt;&gt;"",TODAY()&lt;A702),"Upcoming",IF(AND(B702&lt;&gt;"",TODAY()&gt;B702),"Completed","Active"))))</f>
        <v/>
      </c>
    </row>
    <row r="703">
      <c r="A703" s="2">
        <f>IF(Data!A703="","",IF(ISNUMBER(Data!C703),Data!C703,IFERROR(DATEVALUE(Data!C703),IFERROR(DATEVALUE(SUBSTITUTE(Data!C703,"-"," ")),""))))</f>
        <v/>
      </c>
      <c r="B703" s="2">
        <f>IF(Data!A703="","",IF(ISNUMBER(Data!D703),Data!D703,IFERROR(DATEVALUE(Data!D703),IFERROR(DATEVALUE(SUBSTITUTE(Data!D703,"-"," ")),""))))</f>
        <v/>
      </c>
      <c r="C703">
        <f>IF(Data!A703="","",IF(AND(A703="",B703=""),"Undated",IF(AND(A703&lt;&gt;"",TODAY()&lt;A703),"Upcoming",IF(AND(B703&lt;&gt;"",TODAY()&gt;B703),"Completed","Active"))))</f>
        <v/>
      </c>
    </row>
    <row r="704">
      <c r="A704" s="2">
        <f>IF(Data!A704="","",IF(ISNUMBER(Data!C704),Data!C704,IFERROR(DATEVALUE(Data!C704),IFERROR(DATEVALUE(SUBSTITUTE(Data!C704,"-"," ")),""))))</f>
        <v/>
      </c>
      <c r="B704" s="2">
        <f>IF(Data!A704="","",IF(ISNUMBER(Data!D704),Data!D704,IFERROR(DATEVALUE(Data!D704),IFERROR(DATEVALUE(SUBSTITUTE(Data!D704,"-"," ")),""))))</f>
        <v/>
      </c>
      <c r="C704">
        <f>IF(Data!A704="","",IF(AND(A704="",B704=""),"Undated",IF(AND(A704&lt;&gt;"",TODAY()&lt;A704),"Upcoming",IF(AND(B704&lt;&gt;"",TODAY()&gt;B704),"Completed","Active"))))</f>
        <v/>
      </c>
    </row>
    <row r="705">
      <c r="A705" s="2">
        <f>IF(Data!A705="","",IF(ISNUMBER(Data!C705),Data!C705,IFERROR(DATEVALUE(Data!C705),IFERROR(DATEVALUE(SUBSTITUTE(Data!C705,"-"," ")),""))))</f>
        <v/>
      </c>
      <c r="B705" s="2">
        <f>IF(Data!A705="","",IF(ISNUMBER(Data!D705),Data!D705,IFERROR(DATEVALUE(Data!D705),IFERROR(DATEVALUE(SUBSTITUTE(Data!D705,"-"," ")),""))))</f>
        <v/>
      </c>
      <c r="C705">
        <f>IF(Data!A705="","",IF(AND(A705="",B705=""),"Undated",IF(AND(A705&lt;&gt;"",TODAY()&lt;A705),"Upcoming",IF(AND(B705&lt;&gt;"",TODAY()&gt;B705),"Completed","Active"))))</f>
        <v/>
      </c>
    </row>
    <row r="706">
      <c r="A706" s="2">
        <f>IF(Data!A706="","",IF(ISNUMBER(Data!C706),Data!C706,IFERROR(DATEVALUE(Data!C706),IFERROR(DATEVALUE(SUBSTITUTE(Data!C706,"-"," ")),""))))</f>
        <v/>
      </c>
      <c r="B706" s="2">
        <f>IF(Data!A706="","",IF(ISNUMBER(Data!D706),Data!D706,IFERROR(DATEVALUE(Data!D706),IFERROR(DATEVALUE(SUBSTITUTE(Data!D706,"-"," ")),""))))</f>
        <v/>
      </c>
      <c r="C706">
        <f>IF(Data!A706="","",IF(AND(A706="",B706=""),"Undated",IF(AND(A706&lt;&gt;"",TODAY()&lt;A706),"Upcoming",IF(AND(B706&lt;&gt;"",TODAY()&gt;B706),"Completed","Active"))))</f>
        <v/>
      </c>
    </row>
    <row r="707">
      <c r="A707" s="2">
        <f>IF(Data!A707="","",IF(ISNUMBER(Data!C707),Data!C707,IFERROR(DATEVALUE(Data!C707),IFERROR(DATEVALUE(SUBSTITUTE(Data!C707,"-"," ")),""))))</f>
        <v/>
      </c>
      <c r="B707" s="2">
        <f>IF(Data!A707="","",IF(ISNUMBER(Data!D707),Data!D707,IFERROR(DATEVALUE(Data!D707),IFERROR(DATEVALUE(SUBSTITUTE(Data!D707,"-"," ")),""))))</f>
        <v/>
      </c>
      <c r="C707">
        <f>IF(Data!A707="","",IF(AND(A707="",B707=""),"Undated",IF(AND(A707&lt;&gt;"",TODAY()&lt;A707),"Upcoming",IF(AND(B707&lt;&gt;"",TODAY()&gt;B707),"Completed","Active"))))</f>
        <v/>
      </c>
    </row>
    <row r="708">
      <c r="A708" s="2">
        <f>IF(Data!A708="","",IF(ISNUMBER(Data!C708),Data!C708,IFERROR(DATEVALUE(Data!C708),IFERROR(DATEVALUE(SUBSTITUTE(Data!C708,"-"," ")),""))))</f>
        <v/>
      </c>
      <c r="B708" s="2">
        <f>IF(Data!A708="","",IF(ISNUMBER(Data!D708),Data!D708,IFERROR(DATEVALUE(Data!D708),IFERROR(DATEVALUE(SUBSTITUTE(Data!D708,"-"," ")),""))))</f>
        <v/>
      </c>
      <c r="C708">
        <f>IF(Data!A708="","",IF(AND(A708="",B708=""),"Undated",IF(AND(A708&lt;&gt;"",TODAY()&lt;A708),"Upcoming",IF(AND(B708&lt;&gt;"",TODAY()&gt;B708),"Completed","Active"))))</f>
        <v/>
      </c>
    </row>
    <row r="709">
      <c r="A709" s="2">
        <f>IF(Data!A709="","",IF(ISNUMBER(Data!C709),Data!C709,IFERROR(DATEVALUE(Data!C709),IFERROR(DATEVALUE(SUBSTITUTE(Data!C709,"-"," ")),""))))</f>
        <v/>
      </c>
      <c r="B709" s="2">
        <f>IF(Data!A709="","",IF(ISNUMBER(Data!D709),Data!D709,IFERROR(DATEVALUE(Data!D709),IFERROR(DATEVALUE(SUBSTITUTE(Data!D709,"-"," ")),""))))</f>
        <v/>
      </c>
      <c r="C709">
        <f>IF(Data!A709="","",IF(AND(A709="",B709=""),"Undated",IF(AND(A709&lt;&gt;"",TODAY()&lt;A709),"Upcoming",IF(AND(B709&lt;&gt;"",TODAY()&gt;B709),"Completed","Active"))))</f>
        <v/>
      </c>
    </row>
    <row r="710">
      <c r="A710" s="2">
        <f>IF(Data!A710="","",IF(ISNUMBER(Data!C710),Data!C710,IFERROR(DATEVALUE(Data!C710),IFERROR(DATEVALUE(SUBSTITUTE(Data!C710,"-"," ")),""))))</f>
        <v/>
      </c>
      <c r="B710" s="2">
        <f>IF(Data!A710="","",IF(ISNUMBER(Data!D710),Data!D710,IFERROR(DATEVALUE(Data!D710),IFERROR(DATEVALUE(SUBSTITUTE(Data!D710,"-"," ")),""))))</f>
        <v/>
      </c>
      <c r="C710">
        <f>IF(Data!A710="","",IF(AND(A710="",B710=""),"Undated",IF(AND(A710&lt;&gt;"",TODAY()&lt;A710),"Upcoming",IF(AND(B710&lt;&gt;"",TODAY()&gt;B710),"Completed","Active"))))</f>
        <v/>
      </c>
    </row>
    <row r="711">
      <c r="A711" s="2">
        <f>IF(Data!A711="","",IF(ISNUMBER(Data!C711),Data!C711,IFERROR(DATEVALUE(Data!C711),IFERROR(DATEVALUE(SUBSTITUTE(Data!C711,"-"," ")),""))))</f>
        <v/>
      </c>
      <c r="B711" s="2">
        <f>IF(Data!A711="","",IF(ISNUMBER(Data!D711),Data!D711,IFERROR(DATEVALUE(Data!D711),IFERROR(DATEVALUE(SUBSTITUTE(Data!D711,"-"," ")),""))))</f>
        <v/>
      </c>
      <c r="C711">
        <f>IF(Data!A711="","",IF(AND(A711="",B711=""),"Undated",IF(AND(A711&lt;&gt;"",TODAY()&lt;A711),"Upcoming",IF(AND(B711&lt;&gt;"",TODAY()&gt;B711),"Completed","Active"))))</f>
        <v/>
      </c>
    </row>
    <row r="712">
      <c r="A712" s="2">
        <f>IF(Data!A712="","",IF(ISNUMBER(Data!C712),Data!C712,IFERROR(DATEVALUE(Data!C712),IFERROR(DATEVALUE(SUBSTITUTE(Data!C712,"-"," ")),""))))</f>
        <v/>
      </c>
      <c r="B712" s="2">
        <f>IF(Data!A712="","",IF(ISNUMBER(Data!D712),Data!D712,IFERROR(DATEVALUE(Data!D712),IFERROR(DATEVALUE(SUBSTITUTE(Data!D712,"-"," ")),""))))</f>
        <v/>
      </c>
      <c r="C712">
        <f>IF(Data!A712="","",IF(AND(A712="",B712=""),"Undated",IF(AND(A712&lt;&gt;"",TODAY()&lt;A712),"Upcoming",IF(AND(B712&lt;&gt;"",TODAY()&gt;B712),"Completed","Active"))))</f>
        <v/>
      </c>
    </row>
    <row r="713">
      <c r="A713" s="2">
        <f>IF(Data!A713="","",IF(ISNUMBER(Data!C713),Data!C713,IFERROR(DATEVALUE(Data!C713),IFERROR(DATEVALUE(SUBSTITUTE(Data!C713,"-"," ")),""))))</f>
        <v/>
      </c>
      <c r="B713" s="2">
        <f>IF(Data!A713="","",IF(ISNUMBER(Data!D713),Data!D713,IFERROR(DATEVALUE(Data!D713),IFERROR(DATEVALUE(SUBSTITUTE(Data!D713,"-"," ")),""))))</f>
        <v/>
      </c>
      <c r="C713">
        <f>IF(Data!A713="","",IF(AND(A713="",B713=""),"Undated",IF(AND(A713&lt;&gt;"",TODAY()&lt;A713),"Upcoming",IF(AND(B713&lt;&gt;"",TODAY()&gt;B713),"Completed","Active"))))</f>
        <v/>
      </c>
    </row>
    <row r="714">
      <c r="A714" s="2">
        <f>IF(Data!A714="","",IF(ISNUMBER(Data!C714),Data!C714,IFERROR(DATEVALUE(Data!C714),IFERROR(DATEVALUE(SUBSTITUTE(Data!C714,"-"," ")),""))))</f>
        <v/>
      </c>
      <c r="B714" s="2">
        <f>IF(Data!A714="","",IF(ISNUMBER(Data!D714),Data!D714,IFERROR(DATEVALUE(Data!D714),IFERROR(DATEVALUE(SUBSTITUTE(Data!D714,"-"," ")),""))))</f>
        <v/>
      </c>
      <c r="C714">
        <f>IF(Data!A714="","",IF(AND(A714="",B714=""),"Undated",IF(AND(A714&lt;&gt;"",TODAY()&lt;A714),"Upcoming",IF(AND(B714&lt;&gt;"",TODAY()&gt;B714),"Completed","Active"))))</f>
        <v/>
      </c>
    </row>
    <row r="715">
      <c r="A715" s="2">
        <f>IF(Data!A715="","",IF(ISNUMBER(Data!C715),Data!C715,IFERROR(DATEVALUE(Data!C715),IFERROR(DATEVALUE(SUBSTITUTE(Data!C715,"-"," ")),""))))</f>
        <v/>
      </c>
      <c r="B715" s="2">
        <f>IF(Data!A715="","",IF(ISNUMBER(Data!D715),Data!D715,IFERROR(DATEVALUE(Data!D715),IFERROR(DATEVALUE(SUBSTITUTE(Data!D715,"-"," ")),""))))</f>
        <v/>
      </c>
      <c r="C715">
        <f>IF(Data!A715="","",IF(AND(A715="",B715=""),"Undated",IF(AND(A715&lt;&gt;"",TODAY()&lt;A715),"Upcoming",IF(AND(B715&lt;&gt;"",TODAY()&gt;B715),"Completed","Active"))))</f>
        <v/>
      </c>
    </row>
    <row r="716">
      <c r="A716" s="2">
        <f>IF(Data!A716="","",IF(ISNUMBER(Data!C716),Data!C716,IFERROR(DATEVALUE(Data!C716),IFERROR(DATEVALUE(SUBSTITUTE(Data!C716,"-"," ")),""))))</f>
        <v/>
      </c>
      <c r="B716" s="2">
        <f>IF(Data!A716="","",IF(ISNUMBER(Data!D716),Data!D716,IFERROR(DATEVALUE(Data!D716),IFERROR(DATEVALUE(SUBSTITUTE(Data!D716,"-"," ")),""))))</f>
        <v/>
      </c>
      <c r="C716">
        <f>IF(Data!A716="","",IF(AND(A716="",B716=""),"Undated",IF(AND(A716&lt;&gt;"",TODAY()&lt;A716),"Upcoming",IF(AND(B716&lt;&gt;"",TODAY()&gt;B716),"Completed","Active"))))</f>
        <v/>
      </c>
    </row>
    <row r="717">
      <c r="A717" s="2">
        <f>IF(Data!A717="","",IF(ISNUMBER(Data!C717),Data!C717,IFERROR(DATEVALUE(Data!C717),IFERROR(DATEVALUE(SUBSTITUTE(Data!C717,"-"," ")),""))))</f>
        <v/>
      </c>
      <c r="B717" s="2">
        <f>IF(Data!A717="","",IF(ISNUMBER(Data!D717),Data!D717,IFERROR(DATEVALUE(Data!D717),IFERROR(DATEVALUE(SUBSTITUTE(Data!D717,"-"," ")),""))))</f>
        <v/>
      </c>
      <c r="C717">
        <f>IF(Data!A717="","",IF(AND(A717="",B717=""),"Undated",IF(AND(A717&lt;&gt;"",TODAY()&lt;A717),"Upcoming",IF(AND(B717&lt;&gt;"",TODAY()&gt;B717),"Completed","Active"))))</f>
        <v/>
      </c>
    </row>
    <row r="718">
      <c r="A718" s="2">
        <f>IF(Data!A718="","",IF(ISNUMBER(Data!C718),Data!C718,IFERROR(DATEVALUE(Data!C718),IFERROR(DATEVALUE(SUBSTITUTE(Data!C718,"-"," ")),""))))</f>
        <v/>
      </c>
      <c r="B718" s="2">
        <f>IF(Data!A718="","",IF(ISNUMBER(Data!D718),Data!D718,IFERROR(DATEVALUE(Data!D718),IFERROR(DATEVALUE(SUBSTITUTE(Data!D718,"-"," ")),""))))</f>
        <v/>
      </c>
      <c r="C718">
        <f>IF(Data!A718="","",IF(AND(A718="",B718=""),"Undated",IF(AND(A718&lt;&gt;"",TODAY()&lt;A718),"Upcoming",IF(AND(B718&lt;&gt;"",TODAY()&gt;B718),"Completed","Active"))))</f>
        <v/>
      </c>
    </row>
    <row r="719">
      <c r="A719" s="2">
        <f>IF(Data!A719="","",IF(ISNUMBER(Data!C719),Data!C719,IFERROR(DATEVALUE(Data!C719),IFERROR(DATEVALUE(SUBSTITUTE(Data!C719,"-"," ")),""))))</f>
        <v/>
      </c>
      <c r="B719" s="2">
        <f>IF(Data!A719="","",IF(ISNUMBER(Data!D719),Data!D719,IFERROR(DATEVALUE(Data!D719),IFERROR(DATEVALUE(SUBSTITUTE(Data!D719,"-"," ")),""))))</f>
        <v/>
      </c>
      <c r="C719">
        <f>IF(Data!A719="","",IF(AND(A719="",B719=""),"Undated",IF(AND(A719&lt;&gt;"",TODAY()&lt;A719),"Upcoming",IF(AND(B719&lt;&gt;"",TODAY()&gt;B719),"Completed","Active"))))</f>
        <v/>
      </c>
    </row>
    <row r="720">
      <c r="A720" s="2">
        <f>IF(Data!A720="","",IF(ISNUMBER(Data!C720),Data!C720,IFERROR(DATEVALUE(Data!C720),IFERROR(DATEVALUE(SUBSTITUTE(Data!C720,"-"," ")),""))))</f>
        <v/>
      </c>
      <c r="B720" s="2">
        <f>IF(Data!A720="","",IF(ISNUMBER(Data!D720),Data!D720,IFERROR(DATEVALUE(Data!D720),IFERROR(DATEVALUE(SUBSTITUTE(Data!D720,"-"," ")),""))))</f>
        <v/>
      </c>
      <c r="C720">
        <f>IF(Data!A720="","",IF(AND(A720="",B720=""),"Undated",IF(AND(A720&lt;&gt;"",TODAY()&lt;A720),"Upcoming",IF(AND(B720&lt;&gt;"",TODAY()&gt;B720),"Completed","Active"))))</f>
        <v/>
      </c>
    </row>
    <row r="721">
      <c r="A721" s="2">
        <f>IF(Data!A721="","",IF(ISNUMBER(Data!C721),Data!C721,IFERROR(DATEVALUE(Data!C721),IFERROR(DATEVALUE(SUBSTITUTE(Data!C721,"-"," ")),""))))</f>
        <v/>
      </c>
      <c r="B721" s="2">
        <f>IF(Data!A721="","",IF(ISNUMBER(Data!D721),Data!D721,IFERROR(DATEVALUE(Data!D721),IFERROR(DATEVALUE(SUBSTITUTE(Data!D721,"-"," ")),""))))</f>
        <v/>
      </c>
      <c r="C721">
        <f>IF(Data!A721="","",IF(AND(A721="",B721=""),"Undated",IF(AND(A721&lt;&gt;"",TODAY()&lt;A721),"Upcoming",IF(AND(B721&lt;&gt;"",TODAY()&gt;B721),"Completed","Active"))))</f>
        <v/>
      </c>
    </row>
    <row r="722">
      <c r="A722" s="2">
        <f>IF(Data!A722="","",IF(ISNUMBER(Data!C722),Data!C722,IFERROR(DATEVALUE(Data!C722),IFERROR(DATEVALUE(SUBSTITUTE(Data!C722,"-"," ")),""))))</f>
        <v/>
      </c>
      <c r="B722" s="2">
        <f>IF(Data!A722="","",IF(ISNUMBER(Data!D722),Data!D722,IFERROR(DATEVALUE(Data!D722),IFERROR(DATEVALUE(SUBSTITUTE(Data!D722,"-"," ")),""))))</f>
        <v/>
      </c>
      <c r="C722">
        <f>IF(Data!A722="","",IF(AND(A722="",B722=""),"Undated",IF(AND(A722&lt;&gt;"",TODAY()&lt;A722),"Upcoming",IF(AND(B722&lt;&gt;"",TODAY()&gt;B722),"Completed","Active"))))</f>
        <v/>
      </c>
    </row>
    <row r="723">
      <c r="A723" s="2">
        <f>IF(Data!A723="","",IF(ISNUMBER(Data!C723),Data!C723,IFERROR(DATEVALUE(Data!C723),IFERROR(DATEVALUE(SUBSTITUTE(Data!C723,"-"," ")),""))))</f>
        <v/>
      </c>
      <c r="B723" s="2">
        <f>IF(Data!A723="","",IF(ISNUMBER(Data!D723),Data!D723,IFERROR(DATEVALUE(Data!D723),IFERROR(DATEVALUE(SUBSTITUTE(Data!D723,"-"," ")),""))))</f>
        <v/>
      </c>
      <c r="C723">
        <f>IF(Data!A723="","",IF(AND(A723="",B723=""),"Undated",IF(AND(A723&lt;&gt;"",TODAY()&lt;A723),"Upcoming",IF(AND(B723&lt;&gt;"",TODAY()&gt;B723),"Completed","Active"))))</f>
        <v/>
      </c>
    </row>
    <row r="724">
      <c r="A724" s="2">
        <f>IF(Data!A724="","",IF(ISNUMBER(Data!C724),Data!C724,IFERROR(DATEVALUE(Data!C724),IFERROR(DATEVALUE(SUBSTITUTE(Data!C724,"-"," ")),""))))</f>
        <v/>
      </c>
      <c r="B724" s="2">
        <f>IF(Data!A724="","",IF(ISNUMBER(Data!D724),Data!D724,IFERROR(DATEVALUE(Data!D724),IFERROR(DATEVALUE(SUBSTITUTE(Data!D724,"-"," ")),""))))</f>
        <v/>
      </c>
      <c r="C724">
        <f>IF(Data!A724="","",IF(AND(A724="",B724=""),"Undated",IF(AND(A724&lt;&gt;"",TODAY()&lt;A724),"Upcoming",IF(AND(B724&lt;&gt;"",TODAY()&gt;B724),"Completed","Active"))))</f>
        <v/>
      </c>
    </row>
    <row r="725">
      <c r="A725" s="2">
        <f>IF(Data!A725="","",IF(ISNUMBER(Data!C725),Data!C725,IFERROR(DATEVALUE(Data!C725),IFERROR(DATEVALUE(SUBSTITUTE(Data!C725,"-"," ")),""))))</f>
        <v/>
      </c>
      <c r="B725" s="2">
        <f>IF(Data!A725="","",IF(ISNUMBER(Data!D725),Data!D725,IFERROR(DATEVALUE(Data!D725),IFERROR(DATEVALUE(SUBSTITUTE(Data!D725,"-"," ")),""))))</f>
        <v/>
      </c>
      <c r="C725">
        <f>IF(Data!A725="","",IF(AND(A725="",B725=""),"Undated",IF(AND(A725&lt;&gt;"",TODAY()&lt;A725),"Upcoming",IF(AND(B725&lt;&gt;"",TODAY()&gt;B725),"Completed","Active"))))</f>
        <v/>
      </c>
    </row>
    <row r="726">
      <c r="A726" s="2">
        <f>IF(Data!A726="","",IF(ISNUMBER(Data!C726),Data!C726,IFERROR(DATEVALUE(Data!C726),IFERROR(DATEVALUE(SUBSTITUTE(Data!C726,"-"," ")),""))))</f>
        <v/>
      </c>
      <c r="B726" s="2">
        <f>IF(Data!A726="","",IF(ISNUMBER(Data!D726),Data!D726,IFERROR(DATEVALUE(Data!D726),IFERROR(DATEVALUE(SUBSTITUTE(Data!D726,"-"," ")),""))))</f>
        <v/>
      </c>
      <c r="C726">
        <f>IF(Data!A726="","",IF(AND(A726="",B726=""),"Undated",IF(AND(A726&lt;&gt;"",TODAY()&lt;A726),"Upcoming",IF(AND(B726&lt;&gt;"",TODAY()&gt;B726),"Completed","Active"))))</f>
        <v/>
      </c>
    </row>
    <row r="727">
      <c r="A727" s="2">
        <f>IF(Data!A727="","",IF(ISNUMBER(Data!C727),Data!C727,IFERROR(DATEVALUE(Data!C727),IFERROR(DATEVALUE(SUBSTITUTE(Data!C727,"-"," ")),""))))</f>
        <v/>
      </c>
      <c r="B727" s="2">
        <f>IF(Data!A727="","",IF(ISNUMBER(Data!D727),Data!D727,IFERROR(DATEVALUE(Data!D727),IFERROR(DATEVALUE(SUBSTITUTE(Data!D727,"-"," ")),""))))</f>
        <v/>
      </c>
      <c r="C727">
        <f>IF(Data!A727="","",IF(AND(A727="",B727=""),"Undated",IF(AND(A727&lt;&gt;"",TODAY()&lt;A727),"Upcoming",IF(AND(B727&lt;&gt;"",TODAY()&gt;B727),"Completed","Active"))))</f>
        <v/>
      </c>
    </row>
    <row r="728">
      <c r="A728" s="2">
        <f>IF(Data!A728="","",IF(ISNUMBER(Data!C728),Data!C728,IFERROR(DATEVALUE(Data!C728),IFERROR(DATEVALUE(SUBSTITUTE(Data!C728,"-"," ")),""))))</f>
        <v/>
      </c>
      <c r="B728" s="2">
        <f>IF(Data!A728="","",IF(ISNUMBER(Data!D728),Data!D728,IFERROR(DATEVALUE(Data!D728),IFERROR(DATEVALUE(SUBSTITUTE(Data!D728,"-"," ")),""))))</f>
        <v/>
      </c>
      <c r="C728">
        <f>IF(Data!A728="","",IF(AND(A728="",B728=""),"Undated",IF(AND(A728&lt;&gt;"",TODAY()&lt;A728),"Upcoming",IF(AND(B728&lt;&gt;"",TODAY()&gt;B728),"Completed","Active"))))</f>
        <v/>
      </c>
    </row>
    <row r="729">
      <c r="A729" s="2">
        <f>IF(Data!A729="","",IF(ISNUMBER(Data!C729),Data!C729,IFERROR(DATEVALUE(Data!C729),IFERROR(DATEVALUE(SUBSTITUTE(Data!C729,"-"," ")),""))))</f>
        <v/>
      </c>
      <c r="B729" s="2">
        <f>IF(Data!A729="","",IF(ISNUMBER(Data!D729),Data!D729,IFERROR(DATEVALUE(Data!D729),IFERROR(DATEVALUE(SUBSTITUTE(Data!D729,"-"," ")),""))))</f>
        <v/>
      </c>
      <c r="C729">
        <f>IF(Data!A729="","",IF(AND(A729="",B729=""),"Undated",IF(AND(A729&lt;&gt;"",TODAY()&lt;A729),"Upcoming",IF(AND(B729&lt;&gt;"",TODAY()&gt;B729),"Completed","Active"))))</f>
        <v/>
      </c>
    </row>
    <row r="730">
      <c r="A730" s="2">
        <f>IF(Data!A730="","",IF(ISNUMBER(Data!C730),Data!C730,IFERROR(DATEVALUE(Data!C730),IFERROR(DATEVALUE(SUBSTITUTE(Data!C730,"-"," ")),""))))</f>
        <v/>
      </c>
      <c r="B730" s="2">
        <f>IF(Data!A730="","",IF(ISNUMBER(Data!D730),Data!D730,IFERROR(DATEVALUE(Data!D730),IFERROR(DATEVALUE(SUBSTITUTE(Data!D730,"-"," ")),""))))</f>
        <v/>
      </c>
      <c r="C730">
        <f>IF(Data!A730="","",IF(AND(A730="",B730=""),"Undated",IF(AND(A730&lt;&gt;"",TODAY()&lt;A730),"Upcoming",IF(AND(B730&lt;&gt;"",TODAY()&gt;B730),"Completed","Active"))))</f>
        <v/>
      </c>
    </row>
    <row r="731">
      <c r="A731" s="2">
        <f>IF(Data!A731="","",IF(ISNUMBER(Data!C731),Data!C731,IFERROR(DATEVALUE(Data!C731),IFERROR(DATEVALUE(SUBSTITUTE(Data!C731,"-"," ")),""))))</f>
        <v/>
      </c>
      <c r="B731" s="2">
        <f>IF(Data!A731="","",IF(ISNUMBER(Data!D731),Data!D731,IFERROR(DATEVALUE(Data!D731),IFERROR(DATEVALUE(SUBSTITUTE(Data!D731,"-"," ")),""))))</f>
        <v/>
      </c>
      <c r="C731">
        <f>IF(Data!A731="","",IF(AND(A731="",B731=""),"Undated",IF(AND(A731&lt;&gt;"",TODAY()&lt;A731),"Upcoming",IF(AND(B731&lt;&gt;"",TODAY()&gt;B731),"Completed","Active"))))</f>
        <v/>
      </c>
    </row>
    <row r="732">
      <c r="A732" s="2">
        <f>IF(Data!A732="","",IF(ISNUMBER(Data!C732),Data!C732,IFERROR(DATEVALUE(Data!C732),IFERROR(DATEVALUE(SUBSTITUTE(Data!C732,"-"," ")),""))))</f>
        <v/>
      </c>
      <c r="B732" s="2">
        <f>IF(Data!A732="","",IF(ISNUMBER(Data!D732),Data!D732,IFERROR(DATEVALUE(Data!D732),IFERROR(DATEVALUE(SUBSTITUTE(Data!D732,"-"," ")),""))))</f>
        <v/>
      </c>
      <c r="C732">
        <f>IF(Data!A732="","",IF(AND(A732="",B732=""),"Undated",IF(AND(A732&lt;&gt;"",TODAY()&lt;A732),"Upcoming",IF(AND(B732&lt;&gt;"",TODAY()&gt;B732),"Completed","Active"))))</f>
        <v/>
      </c>
    </row>
    <row r="733">
      <c r="A733" s="2">
        <f>IF(Data!A733="","",IF(ISNUMBER(Data!C733),Data!C733,IFERROR(DATEVALUE(Data!C733),IFERROR(DATEVALUE(SUBSTITUTE(Data!C733,"-"," ")),""))))</f>
        <v/>
      </c>
      <c r="B733" s="2">
        <f>IF(Data!A733="","",IF(ISNUMBER(Data!D733),Data!D733,IFERROR(DATEVALUE(Data!D733),IFERROR(DATEVALUE(SUBSTITUTE(Data!D733,"-"," ")),""))))</f>
        <v/>
      </c>
      <c r="C733">
        <f>IF(Data!A733="","",IF(AND(A733="",B733=""),"Undated",IF(AND(A733&lt;&gt;"",TODAY()&lt;A733),"Upcoming",IF(AND(B733&lt;&gt;"",TODAY()&gt;B733),"Completed","Active"))))</f>
        <v/>
      </c>
    </row>
    <row r="734">
      <c r="A734" s="2">
        <f>IF(Data!A734="","",IF(ISNUMBER(Data!C734),Data!C734,IFERROR(DATEVALUE(Data!C734),IFERROR(DATEVALUE(SUBSTITUTE(Data!C734,"-"," ")),""))))</f>
        <v/>
      </c>
      <c r="B734" s="2">
        <f>IF(Data!A734="","",IF(ISNUMBER(Data!D734),Data!D734,IFERROR(DATEVALUE(Data!D734),IFERROR(DATEVALUE(SUBSTITUTE(Data!D734,"-"," ")),""))))</f>
        <v/>
      </c>
      <c r="C734">
        <f>IF(Data!A734="","",IF(AND(A734="",B734=""),"Undated",IF(AND(A734&lt;&gt;"",TODAY()&lt;A734),"Upcoming",IF(AND(B734&lt;&gt;"",TODAY()&gt;B734),"Completed","Active"))))</f>
        <v/>
      </c>
    </row>
    <row r="735">
      <c r="A735" s="2">
        <f>IF(Data!A735="","",IF(ISNUMBER(Data!C735),Data!C735,IFERROR(DATEVALUE(Data!C735),IFERROR(DATEVALUE(SUBSTITUTE(Data!C735,"-"," ")),""))))</f>
        <v/>
      </c>
      <c r="B735" s="2">
        <f>IF(Data!A735="","",IF(ISNUMBER(Data!D735),Data!D735,IFERROR(DATEVALUE(Data!D735),IFERROR(DATEVALUE(SUBSTITUTE(Data!D735,"-"," ")),""))))</f>
        <v/>
      </c>
      <c r="C735">
        <f>IF(Data!A735="","",IF(AND(A735="",B735=""),"Undated",IF(AND(A735&lt;&gt;"",TODAY()&lt;A735),"Upcoming",IF(AND(B735&lt;&gt;"",TODAY()&gt;B735),"Completed","Active"))))</f>
        <v/>
      </c>
    </row>
    <row r="736">
      <c r="A736" s="2">
        <f>IF(Data!A736="","",IF(ISNUMBER(Data!C736),Data!C736,IFERROR(DATEVALUE(Data!C736),IFERROR(DATEVALUE(SUBSTITUTE(Data!C736,"-"," ")),""))))</f>
        <v/>
      </c>
      <c r="B736" s="2">
        <f>IF(Data!A736="","",IF(ISNUMBER(Data!D736),Data!D736,IFERROR(DATEVALUE(Data!D736),IFERROR(DATEVALUE(SUBSTITUTE(Data!D736,"-"," ")),""))))</f>
        <v/>
      </c>
      <c r="C736">
        <f>IF(Data!A736="","",IF(AND(A736="",B736=""),"Undated",IF(AND(A736&lt;&gt;"",TODAY()&lt;A736),"Upcoming",IF(AND(B736&lt;&gt;"",TODAY()&gt;B736),"Completed","Active"))))</f>
        <v/>
      </c>
    </row>
    <row r="737">
      <c r="A737" s="2">
        <f>IF(Data!A737="","",IF(ISNUMBER(Data!C737),Data!C737,IFERROR(DATEVALUE(Data!C737),IFERROR(DATEVALUE(SUBSTITUTE(Data!C737,"-"," ")),""))))</f>
        <v/>
      </c>
      <c r="B737" s="2">
        <f>IF(Data!A737="","",IF(ISNUMBER(Data!D737),Data!D737,IFERROR(DATEVALUE(Data!D737),IFERROR(DATEVALUE(SUBSTITUTE(Data!D737,"-"," ")),""))))</f>
        <v/>
      </c>
      <c r="C737">
        <f>IF(Data!A737="","",IF(AND(A737="",B737=""),"Undated",IF(AND(A737&lt;&gt;"",TODAY()&lt;A737),"Upcoming",IF(AND(B737&lt;&gt;"",TODAY()&gt;B737),"Completed","Active"))))</f>
        <v/>
      </c>
    </row>
    <row r="738">
      <c r="A738" s="2">
        <f>IF(Data!A738="","",IF(ISNUMBER(Data!C738),Data!C738,IFERROR(DATEVALUE(Data!C738),IFERROR(DATEVALUE(SUBSTITUTE(Data!C738,"-"," ")),""))))</f>
        <v/>
      </c>
      <c r="B738" s="2">
        <f>IF(Data!A738="","",IF(ISNUMBER(Data!D738),Data!D738,IFERROR(DATEVALUE(Data!D738),IFERROR(DATEVALUE(SUBSTITUTE(Data!D738,"-"," ")),""))))</f>
        <v/>
      </c>
      <c r="C738">
        <f>IF(Data!A738="","",IF(AND(A738="",B738=""),"Undated",IF(AND(A738&lt;&gt;"",TODAY()&lt;A738),"Upcoming",IF(AND(B738&lt;&gt;"",TODAY()&gt;B738),"Completed","Active"))))</f>
        <v/>
      </c>
    </row>
    <row r="739">
      <c r="A739" s="2">
        <f>IF(Data!A739="","",IF(ISNUMBER(Data!C739),Data!C739,IFERROR(DATEVALUE(Data!C739),IFERROR(DATEVALUE(SUBSTITUTE(Data!C739,"-"," ")),""))))</f>
        <v/>
      </c>
      <c r="B739" s="2">
        <f>IF(Data!A739="","",IF(ISNUMBER(Data!D739),Data!D739,IFERROR(DATEVALUE(Data!D739),IFERROR(DATEVALUE(SUBSTITUTE(Data!D739,"-"," ")),""))))</f>
        <v/>
      </c>
      <c r="C739">
        <f>IF(Data!A739="","",IF(AND(A739="",B739=""),"Undated",IF(AND(A739&lt;&gt;"",TODAY()&lt;A739),"Upcoming",IF(AND(B739&lt;&gt;"",TODAY()&gt;B739),"Completed","Active"))))</f>
        <v/>
      </c>
    </row>
    <row r="740">
      <c r="A740" s="2">
        <f>IF(Data!A740="","",IF(ISNUMBER(Data!C740),Data!C740,IFERROR(DATEVALUE(Data!C740),IFERROR(DATEVALUE(SUBSTITUTE(Data!C740,"-"," ")),""))))</f>
        <v/>
      </c>
      <c r="B740" s="2">
        <f>IF(Data!A740="","",IF(ISNUMBER(Data!D740),Data!D740,IFERROR(DATEVALUE(Data!D740),IFERROR(DATEVALUE(SUBSTITUTE(Data!D740,"-"," ")),""))))</f>
        <v/>
      </c>
      <c r="C740">
        <f>IF(Data!A740="","",IF(AND(A740="",B740=""),"Undated",IF(AND(A740&lt;&gt;"",TODAY()&lt;A740),"Upcoming",IF(AND(B740&lt;&gt;"",TODAY()&gt;B740),"Completed","Active"))))</f>
        <v/>
      </c>
    </row>
    <row r="741">
      <c r="A741" s="2">
        <f>IF(Data!A741="","",IF(ISNUMBER(Data!C741),Data!C741,IFERROR(DATEVALUE(Data!C741),IFERROR(DATEVALUE(SUBSTITUTE(Data!C741,"-"," ")),""))))</f>
        <v/>
      </c>
      <c r="B741" s="2">
        <f>IF(Data!A741="","",IF(ISNUMBER(Data!D741),Data!D741,IFERROR(DATEVALUE(Data!D741),IFERROR(DATEVALUE(SUBSTITUTE(Data!D741,"-"," ")),""))))</f>
        <v/>
      </c>
      <c r="C741">
        <f>IF(Data!A741="","",IF(AND(A741="",B741=""),"Undated",IF(AND(A741&lt;&gt;"",TODAY()&lt;A741),"Upcoming",IF(AND(B741&lt;&gt;"",TODAY()&gt;B741),"Completed","Active"))))</f>
        <v/>
      </c>
    </row>
    <row r="742">
      <c r="A742" s="2">
        <f>IF(Data!A742="","",IF(ISNUMBER(Data!C742),Data!C742,IFERROR(DATEVALUE(Data!C742),IFERROR(DATEVALUE(SUBSTITUTE(Data!C742,"-"," ")),""))))</f>
        <v/>
      </c>
      <c r="B742" s="2">
        <f>IF(Data!A742="","",IF(ISNUMBER(Data!D742),Data!D742,IFERROR(DATEVALUE(Data!D742),IFERROR(DATEVALUE(SUBSTITUTE(Data!D742,"-"," ")),""))))</f>
        <v/>
      </c>
      <c r="C742">
        <f>IF(Data!A742="","",IF(AND(A742="",B742=""),"Undated",IF(AND(A742&lt;&gt;"",TODAY()&lt;A742),"Upcoming",IF(AND(B742&lt;&gt;"",TODAY()&gt;B742),"Completed","Active"))))</f>
        <v/>
      </c>
    </row>
    <row r="743">
      <c r="A743" s="2">
        <f>IF(Data!A743="","",IF(ISNUMBER(Data!C743),Data!C743,IFERROR(DATEVALUE(Data!C743),IFERROR(DATEVALUE(SUBSTITUTE(Data!C743,"-"," ")),""))))</f>
        <v/>
      </c>
      <c r="B743" s="2">
        <f>IF(Data!A743="","",IF(ISNUMBER(Data!D743),Data!D743,IFERROR(DATEVALUE(Data!D743),IFERROR(DATEVALUE(SUBSTITUTE(Data!D743,"-"," ")),""))))</f>
        <v/>
      </c>
      <c r="C743">
        <f>IF(Data!A743="","",IF(AND(A743="",B743=""),"Undated",IF(AND(A743&lt;&gt;"",TODAY()&lt;A743),"Upcoming",IF(AND(B743&lt;&gt;"",TODAY()&gt;B743),"Completed","Active"))))</f>
        <v/>
      </c>
    </row>
    <row r="744">
      <c r="A744" s="2">
        <f>IF(Data!A744="","",IF(ISNUMBER(Data!C744),Data!C744,IFERROR(DATEVALUE(Data!C744),IFERROR(DATEVALUE(SUBSTITUTE(Data!C744,"-"," ")),""))))</f>
        <v/>
      </c>
      <c r="B744" s="2">
        <f>IF(Data!A744="","",IF(ISNUMBER(Data!D744),Data!D744,IFERROR(DATEVALUE(Data!D744),IFERROR(DATEVALUE(SUBSTITUTE(Data!D744,"-"," ")),""))))</f>
        <v/>
      </c>
      <c r="C744">
        <f>IF(Data!A744="","",IF(AND(A744="",B744=""),"Undated",IF(AND(A744&lt;&gt;"",TODAY()&lt;A744),"Upcoming",IF(AND(B744&lt;&gt;"",TODAY()&gt;B744),"Completed","Active"))))</f>
        <v/>
      </c>
    </row>
    <row r="745">
      <c r="A745" s="2">
        <f>IF(Data!A745="","",IF(ISNUMBER(Data!C745),Data!C745,IFERROR(DATEVALUE(Data!C745),IFERROR(DATEVALUE(SUBSTITUTE(Data!C745,"-"," ")),""))))</f>
        <v/>
      </c>
      <c r="B745" s="2">
        <f>IF(Data!A745="","",IF(ISNUMBER(Data!D745),Data!D745,IFERROR(DATEVALUE(Data!D745),IFERROR(DATEVALUE(SUBSTITUTE(Data!D745,"-"," ")),""))))</f>
        <v/>
      </c>
      <c r="C745">
        <f>IF(Data!A745="","",IF(AND(A745="",B745=""),"Undated",IF(AND(A745&lt;&gt;"",TODAY()&lt;A745),"Upcoming",IF(AND(B745&lt;&gt;"",TODAY()&gt;B745),"Completed","Active"))))</f>
        <v/>
      </c>
    </row>
    <row r="746">
      <c r="A746" s="2">
        <f>IF(Data!A746="","",IF(ISNUMBER(Data!C746),Data!C746,IFERROR(DATEVALUE(Data!C746),IFERROR(DATEVALUE(SUBSTITUTE(Data!C746,"-"," ")),""))))</f>
        <v/>
      </c>
      <c r="B746" s="2">
        <f>IF(Data!A746="","",IF(ISNUMBER(Data!D746),Data!D746,IFERROR(DATEVALUE(Data!D746),IFERROR(DATEVALUE(SUBSTITUTE(Data!D746,"-"," ")),""))))</f>
        <v/>
      </c>
      <c r="C746">
        <f>IF(Data!A746="","",IF(AND(A746="",B746=""),"Undated",IF(AND(A746&lt;&gt;"",TODAY()&lt;A746),"Upcoming",IF(AND(B746&lt;&gt;"",TODAY()&gt;B746),"Completed","Active"))))</f>
        <v/>
      </c>
    </row>
    <row r="747">
      <c r="A747" s="2">
        <f>IF(Data!A747="","",IF(ISNUMBER(Data!C747),Data!C747,IFERROR(DATEVALUE(Data!C747),IFERROR(DATEVALUE(SUBSTITUTE(Data!C747,"-"," ")),""))))</f>
        <v/>
      </c>
      <c r="B747" s="2">
        <f>IF(Data!A747="","",IF(ISNUMBER(Data!D747),Data!D747,IFERROR(DATEVALUE(Data!D747),IFERROR(DATEVALUE(SUBSTITUTE(Data!D747,"-"," ")),""))))</f>
        <v/>
      </c>
      <c r="C747">
        <f>IF(Data!A747="","",IF(AND(A747="",B747=""),"Undated",IF(AND(A747&lt;&gt;"",TODAY()&lt;A747),"Upcoming",IF(AND(B747&lt;&gt;"",TODAY()&gt;B747),"Completed","Active"))))</f>
        <v/>
      </c>
    </row>
    <row r="748">
      <c r="A748" s="2">
        <f>IF(Data!A748="","",IF(ISNUMBER(Data!C748),Data!C748,IFERROR(DATEVALUE(Data!C748),IFERROR(DATEVALUE(SUBSTITUTE(Data!C748,"-"," ")),""))))</f>
        <v/>
      </c>
      <c r="B748" s="2">
        <f>IF(Data!A748="","",IF(ISNUMBER(Data!D748),Data!D748,IFERROR(DATEVALUE(Data!D748),IFERROR(DATEVALUE(SUBSTITUTE(Data!D748,"-"," ")),""))))</f>
        <v/>
      </c>
      <c r="C748">
        <f>IF(Data!A748="","",IF(AND(A748="",B748=""),"Undated",IF(AND(A748&lt;&gt;"",TODAY()&lt;A748),"Upcoming",IF(AND(B748&lt;&gt;"",TODAY()&gt;B748),"Completed","Active"))))</f>
        <v/>
      </c>
    </row>
    <row r="749">
      <c r="A749" s="2">
        <f>IF(Data!A749="","",IF(ISNUMBER(Data!C749),Data!C749,IFERROR(DATEVALUE(Data!C749),IFERROR(DATEVALUE(SUBSTITUTE(Data!C749,"-"," ")),""))))</f>
        <v/>
      </c>
      <c r="B749" s="2">
        <f>IF(Data!A749="","",IF(ISNUMBER(Data!D749),Data!D749,IFERROR(DATEVALUE(Data!D749),IFERROR(DATEVALUE(SUBSTITUTE(Data!D749,"-"," ")),""))))</f>
        <v/>
      </c>
      <c r="C749">
        <f>IF(Data!A749="","",IF(AND(A749="",B749=""),"Undated",IF(AND(A749&lt;&gt;"",TODAY()&lt;A749),"Upcoming",IF(AND(B749&lt;&gt;"",TODAY()&gt;B749),"Completed","Active"))))</f>
        <v/>
      </c>
    </row>
    <row r="750">
      <c r="A750" s="2">
        <f>IF(Data!A750="","",IF(ISNUMBER(Data!C750),Data!C750,IFERROR(DATEVALUE(Data!C750),IFERROR(DATEVALUE(SUBSTITUTE(Data!C750,"-"," ")),""))))</f>
        <v/>
      </c>
      <c r="B750" s="2">
        <f>IF(Data!A750="","",IF(ISNUMBER(Data!D750),Data!D750,IFERROR(DATEVALUE(Data!D750),IFERROR(DATEVALUE(SUBSTITUTE(Data!D750,"-"," ")),""))))</f>
        <v/>
      </c>
      <c r="C750">
        <f>IF(Data!A750="","",IF(AND(A750="",B750=""),"Undated",IF(AND(A750&lt;&gt;"",TODAY()&lt;A750),"Upcoming",IF(AND(B750&lt;&gt;"",TODAY()&gt;B750),"Completed","Active"))))</f>
        <v/>
      </c>
    </row>
    <row r="751">
      <c r="A751" s="2">
        <f>IF(Data!A751="","",IF(ISNUMBER(Data!C751),Data!C751,IFERROR(DATEVALUE(Data!C751),IFERROR(DATEVALUE(SUBSTITUTE(Data!C751,"-"," ")),""))))</f>
        <v/>
      </c>
      <c r="B751" s="2">
        <f>IF(Data!A751="","",IF(ISNUMBER(Data!D751),Data!D751,IFERROR(DATEVALUE(Data!D751),IFERROR(DATEVALUE(SUBSTITUTE(Data!D751,"-"," ")),""))))</f>
        <v/>
      </c>
      <c r="C751">
        <f>IF(Data!A751="","",IF(AND(A751="",B751=""),"Undated",IF(AND(A751&lt;&gt;"",TODAY()&lt;A751),"Upcoming",IF(AND(B751&lt;&gt;"",TODAY()&gt;B751),"Completed","Active"))))</f>
        <v/>
      </c>
    </row>
    <row r="752">
      <c r="A752" s="2">
        <f>IF(Data!A752="","",IF(ISNUMBER(Data!C752),Data!C752,IFERROR(DATEVALUE(Data!C752),IFERROR(DATEVALUE(SUBSTITUTE(Data!C752,"-"," ")),""))))</f>
        <v/>
      </c>
      <c r="B752" s="2">
        <f>IF(Data!A752="","",IF(ISNUMBER(Data!D752),Data!D752,IFERROR(DATEVALUE(Data!D752),IFERROR(DATEVALUE(SUBSTITUTE(Data!D752,"-"," ")),""))))</f>
        <v/>
      </c>
      <c r="C752">
        <f>IF(Data!A752="","",IF(AND(A752="",B752=""),"Undated",IF(AND(A752&lt;&gt;"",TODAY()&lt;A752),"Upcoming",IF(AND(B752&lt;&gt;"",TODAY()&gt;B752),"Completed","Active"))))</f>
        <v/>
      </c>
    </row>
    <row r="753">
      <c r="A753" s="2">
        <f>IF(Data!A753="","",IF(ISNUMBER(Data!C753),Data!C753,IFERROR(DATEVALUE(Data!C753),IFERROR(DATEVALUE(SUBSTITUTE(Data!C753,"-"," ")),""))))</f>
        <v/>
      </c>
      <c r="B753" s="2">
        <f>IF(Data!A753="","",IF(ISNUMBER(Data!D753),Data!D753,IFERROR(DATEVALUE(Data!D753),IFERROR(DATEVALUE(SUBSTITUTE(Data!D753,"-"," ")),""))))</f>
        <v/>
      </c>
      <c r="C753">
        <f>IF(Data!A753="","",IF(AND(A753="",B753=""),"Undated",IF(AND(A753&lt;&gt;"",TODAY()&lt;A753),"Upcoming",IF(AND(B753&lt;&gt;"",TODAY()&gt;B753),"Completed","Active"))))</f>
        <v/>
      </c>
    </row>
    <row r="754">
      <c r="A754" s="2">
        <f>IF(Data!A754="","",IF(ISNUMBER(Data!C754),Data!C754,IFERROR(DATEVALUE(Data!C754),IFERROR(DATEVALUE(SUBSTITUTE(Data!C754,"-"," ")),""))))</f>
        <v/>
      </c>
      <c r="B754" s="2">
        <f>IF(Data!A754="","",IF(ISNUMBER(Data!D754),Data!D754,IFERROR(DATEVALUE(Data!D754),IFERROR(DATEVALUE(SUBSTITUTE(Data!D754,"-"," ")),""))))</f>
        <v/>
      </c>
      <c r="C754">
        <f>IF(Data!A754="","",IF(AND(A754="",B754=""),"Undated",IF(AND(A754&lt;&gt;"",TODAY()&lt;A754),"Upcoming",IF(AND(B754&lt;&gt;"",TODAY()&gt;B754),"Completed","Active"))))</f>
        <v/>
      </c>
    </row>
    <row r="755">
      <c r="A755" s="2">
        <f>IF(Data!A755="","",IF(ISNUMBER(Data!C755),Data!C755,IFERROR(DATEVALUE(Data!C755),IFERROR(DATEVALUE(SUBSTITUTE(Data!C755,"-"," ")),""))))</f>
        <v/>
      </c>
      <c r="B755" s="2">
        <f>IF(Data!A755="","",IF(ISNUMBER(Data!D755),Data!D755,IFERROR(DATEVALUE(Data!D755),IFERROR(DATEVALUE(SUBSTITUTE(Data!D755,"-"," ")),""))))</f>
        <v/>
      </c>
      <c r="C755">
        <f>IF(Data!A755="","",IF(AND(A755="",B755=""),"Undated",IF(AND(A755&lt;&gt;"",TODAY()&lt;A755),"Upcoming",IF(AND(B755&lt;&gt;"",TODAY()&gt;B755),"Completed","Active"))))</f>
        <v/>
      </c>
    </row>
    <row r="756">
      <c r="A756" s="2">
        <f>IF(Data!A756="","",IF(ISNUMBER(Data!C756),Data!C756,IFERROR(DATEVALUE(Data!C756),IFERROR(DATEVALUE(SUBSTITUTE(Data!C756,"-"," ")),""))))</f>
        <v/>
      </c>
      <c r="B756" s="2">
        <f>IF(Data!A756="","",IF(ISNUMBER(Data!D756),Data!D756,IFERROR(DATEVALUE(Data!D756),IFERROR(DATEVALUE(SUBSTITUTE(Data!D756,"-"," ")),""))))</f>
        <v/>
      </c>
      <c r="C756">
        <f>IF(Data!A756="","",IF(AND(A756="",B756=""),"Undated",IF(AND(A756&lt;&gt;"",TODAY()&lt;A756),"Upcoming",IF(AND(B756&lt;&gt;"",TODAY()&gt;B756),"Completed","Active"))))</f>
        <v/>
      </c>
    </row>
    <row r="757">
      <c r="A757" s="2">
        <f>IF(Data!A757="","",IF(ISNUMBER(Data!C757),Data!C757,IFERROR(DATEVALUE(Data!C757),IFERROR(DATEVALUE(SUBSTITUTE(Data!C757,"-"," ")),""))))</f>
        <v/>
      </c>
      <c r="B757" s="2">
        <f>IF(Data!A757="","",IF(ISNUMBER(Data!D757),Data!D757,IFERROR(DATEVALUE(Data!D757),IFERROR(DATEVALUE(SUBSTITUTE(Data!D757,"-"," ")),""))))</f>
        <v/>
      </c>
      <c r="C757">
        <f>IF(Data!A757="","",IF(AND(A757="",B757=""),"Undated",IF(AND(A757&lt;&gt;"",TODAY()&lt;A757),"Upcoming",IF(AND(B757&lt;&gt;"",TODAY()&gt;B757),"Completed","Active"))))</f>
        <v/>
      </c>
    </row>
    <row r="758">
      <c r="A758" s="2">
        <f>IF(Data!A758="","",IF(ISNUMBER(Data!C758),Data!C758,IFERROR(DATEVALUE(Data!C758),IFERROR(DATEVALUE(SUBSTITUTE(Data!C758,"-"," ")),""))))</f>
        <v/>
      </c>
      <c r="B758" s="2">
        <f>IF(Data!A758="","",IF(ISNUMBER(Data!D758),Data!D758,IFERROR(DATEVALUE(Data!D758),IFERROR(DATEVALUE(SUBSTITUTE(Data!D758,"-"," ")),""))))</f>
        <v/>
      </c>
      <c r="C758">
        <f>IF(Data!A758="","",IF(AND(A758="",B758=""),"Undated",IF(AND(A758&lt;&gt;"",TODAY()&lt;A758),"Upcoming",IF(AND(B758&lt;&gt;"",TODAY()&gt;B758),"Completed","Active"))))</f>
        <v/>
      </c>
    </row>
    <row r="759">
      <c r="A759" s="2">
        <f>IF(Data!A759="","",IF(ISNUMBER(Data!C759),Data!C759,IFERROR(DATEVALUE(Data!C759),IFERROR(DATEVALUE(SUBSTITUTE(Data!C759,"-"," ")),""))))</f>
        <v/>
      </c>
      <c r="B759" s="2">
        <f>IF(Data!A759="","",IF(ISNUMBER(Data!D759),Data!D759,IFERROR(DATEVALUE(Data!D759),IFERROR(DATEVALUE(SUBSTITUTE(Data!D759,"-"," ")),""))))</f>
        <v/>
      </c>
      <c r="C759">
        <f>IF(Data!A759="","",IF(AND(A759="",B759=""),"Undated",IF(AND(A759&lt;&gt;"",TODAY()&lt;A759),"Upcoming",IF(AND(B759&lt;&gt;"",TODAY()&gt;B759),"Completed","Active"))))</f>
        <v/>
      </c>
    </row>
    <row r="760">
      <c r="A760" s="2">
        <f>IF(Data!A760="","",IF(ISNUMBER(Data!C760),Data!C760,IFERROR(DATEVALUE(Data!C760),IFERROR(DATEVALUE(SUBSTITUTE(Data!C760,"-"," ")),""))))</f>
        <v/>
      </c>
      <c r="B760" s="2">
        <f>IF(Data!A760="","",IF(ISNUMBER(Data!D760),Data!D760,IFERROR(DATEVALUE(Data!D760),IFERROR(DATEVALUE(SUBSTITUTE(Data!D760,"-"," ")),""))))</f>
        <v/>
      </c>
      <c r="C760">
        <f>IF(Data!A760="","",IF(AND(A760="",B760=""),"Undated",IF(AND(A760&lt;&gt;"",TODAY()&lt;A760),"Upcoming",IF(AND(B760&lt;&gt;"",TODAY()&gt;B760),"Completed","Active"))))</f>
        <v/>
      </c>
    </row>
    <row r="761">
      <c r="A761" s="2">
        <f>IF(Data!A761="","",IF(ISNUMBER(Data!C761),Data!C761,IFERROR(DATEVALUE(Data!C761),IFERROR(DATEVALUE(SUBSTITUTE(Data!C761,"-"," ")),""))))</f>
        <v/>
      </c>
      <c r="B761" s="2">
        <f>IF(Data!A761="","",IF(ISNUMBER(Data!D761),Data!D761,IFERROR(DATEVALUE(Data!D761),IFERROR(DATEVALUE(SUBSTITUTE(Data!D761,"-"," ")),""))))</f>
        <v/>
      </c>
      <c r="C761">
        <f>IF(Data!A761="","",IF(AND(A761="",B761=""),"Undated",IF(AND(A761&lt;&gt;"",TODAY()&lt;A761),"Upcoming",IF(AND(B761&lt;&gt;"",TODAY()&gt;B761),"Completed","Active"))))</f>
        <v/>
      </c>
    </row>
    <row r="762">
      <c r="A762" s="2">
        <f>IF(Data!A762="","",IF(ISNUMBER(Data!C762),Data!C762,IFERROR(DATEVALUE(Data!C762),IFERROR(DATEVALUE(SUBSTITUTE(Data!C762,"-"," ")),""))))</f>
        <v/>
      </c>
      <c r="B762" s="2">
        <f>IF(Data!A762="","",IF(ISNUMBER(Data!D762),Data!D762,IFERROR(DATEVALUE(Data!D762),IFERROR(DATEVALUE(SUBSTITUTE(Data!D762,"-"," ")),""))))</f>
        <v/>
      </c>
      <c r="C762">
        <f>IF(Data!A762="","",IF(AND(A762="",B762=""),"Undated",IF(AND(A762&lt;&gt;"",TODAY()&lt;A762),"Upcoming",IF(AND(B762&lt;&gt;"",TODAY()&gt;B762),"Completed","Active"))))</f>
        <v/>
      </c>
    </row>
    <row r="763">
      <c r="A763" s="2">
        <f>IF(Data!A763="","",IF(ISNUMBER(Data!C763),Data!C763,IFERROR(DATEVALUE(Data!C763),IFERROR(DATEVALUE(SUBSTITUTE(Data!C763,"-"," ")),""))))</f>
        <v/>
      </c>
      <c r="B763" s="2">
        <f>IF(Data!A763="","",IF(ISNUMBER(Data!D763),Data!D763,IFERROR(DATEVALUE(Data!D763),IFERROR(DATEVALUE(SUBSTITUTE(Data!D763,"-"," ")),""))))</f>
        <v/>
      </c>
      <c r="C763">
        <f>IF(Data!A763="","",IF(AND(A763="",B763=""),"Undated",IF(AND(A763&lt;&gt;"",TODAY()&lt;A763),"Upcoming",IF(AND(B763&lt;&gt;"",TODAY()&gt;B763),"Completed","Active"))))</f>
        <v/>
      </c>
    </row>
    <row r="764">
      <c r="A764" s="2">
        <f>IF(Data!A764="","",IF(ISNUMBER(Data!C764),Data!C764,IFERROR(DATEVALUE(Data!C764),IFERROR(DATEVALUE(SUBSTITUTE(Data!C764,"-"," ")),""))))</f>
        <v/>
      </c>
      <c r="B764" s="2">
        <f>IF(Data!A764="","",IF(ISNUMBER(Data!D764),Data!D764,IFERROR(DATEVALUE(Data!D764),IFERROR(DATEVALUE(SUBSTITUTE(Data!D764,"-"," ")),""))))</f>
        <v/>
      </c>
      <c r="C764">
        <f>IF(Data!A764="","",IF(AND(A764="",B764=""),"Undated",IF(AND(A764&lt;&gt;"",TODAY()&lt;A764),"Upcoming",IF(AND(B764&lt;&gt;"",TODAY()&gt;B764),"Completed","Active"))))</f>
        <v/>
      </c>
    </row>
    <row r="765">
      <c r="A765" s="2">
        <f>IF(Data!A765="","",IF(ISNUMBER(Data!C765),Data!C765,IFERROR(DATEVALUE(Data!C765),IFERROR(DATEVALUE(SUBSTITUTE(Data!C765,"-"," ")),""))))</f>
        <v/>
      </c>
      <c r="B765" s="2">
        <f>IF(Data!A765="","",IF(ISNUMBER(Data!D765),Data!D765,IFERROR(DATEVALUE(Data!D765),IFERROR(DATEVALUE(SUBSTITUTE(Data!D765,"-"," ")),""))))</f>
        <v/>
      </c>
      <c r="C765">
        <f>IF(Data!A765="","",IF(AND(A765="",B765=""),"Undated",IF(AND(A765&lt;&gt;"",TODAY()&lt;A765),"Upcoming",IF(AND(B765&lt;&gt;"",TODAY()&gt;B765),"Completed","Active"))))</f>
        <v/>
      </c>
    </row>
    <row r="766">
      <c r="A766" s="2">
        <f>IF(Data!A766="","",IF(ISNUMBER(Data!C766),Data!C766,IFERROR(DATEVALUE(Data!C766),IFERROR(DATEVALUE(SUBSTITUTE(Data!C766,"-"," ")),""))))</f>
        <v/>
      </c>
      <c r="B766" s="2">
        <f>IF(Data!A766="","",IF(ISNUMBER(Data!D766),Data!D766,IFERROR(DATEVALUE(Data!D766),IFERROR(DATEVALUE(SUBSTITUTE(Data!D766,"-"," ")),""))))</f>
        <v/>
      </c>
      <c r="C766">
        <f>IF(Data!A766="","",IF(AND(A766="",B766=""),"Undated",IF(AND(A766&lt;&gt;"",TODAY()&lt;A766),"Upcoming",IF(AND(B766&lt;&gt;"",TODAY()&gt;B766),"Completed","Active"))))</f>
        <v/>
      </c>
    </row>
    <row r="767">
      <c r="A767" s="2">
        <f>IF(Data!A767="","",IF(ISNUMBER(Data!C767),Data!C767,IFERROR(DATEVALUE(Data!C767),IFERROR(DATEVALUE(SUBSTITUTE(Data!C767,"-"," ")),""))))</f>
        <v/>
      </c>
      <c r="B767" s="2">
        <f>IF(Data!A767="","",IF(ISNUMBER(Data!D767),Data!D767,IFERROR(DATEVALUE(Data!D767),IFERROR(DATEVALUE(SUBSTITUTE(Data!D767,"-"," ")),""))))</f>
        <v/>
      </c>
      <c r="C767">
        <f>IF(Data!A767="","",IF(AND(A767="",B767=""),"Undated",IF(AND(A767&lt;&gt;"",TODAY()&lt;A767),"Upcoming",IF(AND(B767&lt;&gt;"",TODAY()&gt;B767),"Completed","Active"))))</f>
        <v/>
      </c>
    </row>
    <row r="768">
      <c r="A768" s="2">
        <f>IF(Data!A768="","",IF(ISNUMBER(Data!C768),Data!C768,IFERROR(DATEVALUE(Data!C768),IFERROR(DATEVALUE(SUBSTITUTE(Data!C768,"-"," ")),""))))</f>
        <v/>
      </c>
      <c r="B768" s="2">
        <f>IF(Data!A768="","",IF(ISNUMBER(Data!D768),Data!D768,IFERROR(DATEVALUE(Data!D768),IFERROR(DATEVALUE(SUBSTITUTE(Data!D768,"-"," ")),""))))</f>
        <v/>
      </c>
      <c r="C768">
        <f>IF(Data!A768="","",IF(AND(A768="",B768=""),"Undated",IF(AND(A768&lt;&gt;"",TODAY()&lt;A768),"Upcoming",IF(AND(B768&lt;&gt;"",TODAY()&gt;B768),"Completed","Active"))))</f>
        <v/>
      </c>
    </row>
    <row r="769">
      <c r="A769" s="2">
        <f>IF(Data!A769="","",IF(ISNUMBER(Data!C769),Data!C769,IFERROR(DATEVALUE(Data!C769),IFERROR(DATEVALUE(SUBSTITUTE(Data!C769,"-"," ")),""))))</f>
        <v/>
      </c>
      <c r="B769" s="2">
        <f>IF(Data!A769="","",IF(ISNUMBER(Data!D769),Data!D769,IFERROR(DATEVALUE(Data!D769),IFERROR(DATEVALUE(SUBSTITUTE(Data!D769,"-"," ")),""))))</f>
        <v/>
      </c>
      <c r="C769">
        <f>IF(Data!A769="","",IF(AND(A769="",B769=""),"Undated",IF(AND(A769&lt;&gt;"",TODAY()&lt;A769),"Upcoming",IF(AND(B769&lt;&gt;"",TODAY()&gt;B769),"Completed","Active"))))</f>
        <v/>
      </c>
    </row>
    <row r="770">
      <c r="A770" s="2">
        <f>IF(Data!A770="","",IF(ISNUMBER(Data!C770),Data!C770,IFERROR(DATEVALUE(Data!C770),IFERROR(DATEVALUE(SUBSTITUTE(Data!C770,"-"," ")),""))))</f>
        <v/>
      </c>
      <c r="B770" s="2">
        <f>IF(Data!A770="","",IF(ISNUMBER(Data!D770),Data!D770,IFERROR(DATEVALUE(Data!D770),IFERROR(DATEVALUE(SUBSTITUTE(Data!D770,"-"," ")),""))))</f>
        <v/>
      </c>
      <c r="C770">
        <f>IF(Data!A770="","",IF(AND(A770="",B770=""),"Undated",IF(AND(A770&lt;&gt;"",TODAY()&lt;A770),"Upcoming",IF(AND(B770&lt;&gt;"",TODAY()&gt;B770),"Completed","Active"))))</f>
        <v/>
      </c>
    </row>
    <row r="771">
      <c r="A771" s="2">
        <f>IF(Data!A771="","",IF(ISNUMBER(Data!C771),Data!C771,IFERROR(DATEVALUE(Data!C771),IFERROR(DATEVALUE(SUBSTITUTE(Data!C771,"-"," ")),""))))</f>
        <v/>
      </c>
      <c r="B771" s="2">
        <f>IF(Data!A771="","",IF(ISNUMBER(Data!D771),Data!D771,IFERROR(DATEVALUE(Data!D771),IFERROR(DATEVALUE(SUBSTITUTE(Data!D771,"-"," ")),""))))</f>
        <v/>
      </c>
      <c r="C771">
        <f>IF(Data!A771="","",IF(AND(A771="",B771=""),"Undated",IF(AND(A771&lt;&gt;"",TODAY()&lt;A771),"Upcoming",IF(AND(B771&lt;&gt;"",TODAY()&gt;B771),"Completed","Active"))))</f>
        <v/>
      </c>
    </row>
    <row r="772">
      <c r="A772" s="2">
        <f>IF(Data!A772="","",IF(ISNUMBER(Data!C772),Data!C772,IFERROR(DATEVALUE(Data!C772),IFERROR(DATEVALUE(SUBSTITUTE(Data!C772,"-"," ")),""))))</f>
        <v/>
      </c>
      <c r="B772" s="2">
        <f>IF(Data!A772="","",IF(ISNUMBER(Data!D772),Data!D772,IFERROR(DATEVALUE(Data!D772),IFERROR(DATEVALUE(SUBSTITUTE(Data!D772,"-"," ")),""))))</f>
        <v/>
      </c>
      <c r="C772">
        <f>IF(Data!A772="","",IF(AND(A772="",B772=""),"Undated",IF(AND(A772&lt;&gt;"",TODAY()&lt;A772),"Upcoming",IF(AND(B772&lt;&gt;"",TODAY()&gt;B772),"Completed","Active"))))</f>
        <v/>
      </c>
    </row>
    <row r="773">
      <c r="A773" s="2">
        <f>IF(Data!A773="","",IF(ISNUMBER(Data!C773),Data!C773,IFERROR(DATEVALUE(Data!C773),IFERROR(DATEVALUE(SUBSTITUTE(Data!C773,"-"," ")),""))))</f>
        <v/>
      </c>
      <c r="B773" s="2">
        <f>IF(Data!A773="","",IF(ISNUMBER(Data!D773),Data!D773,IFERROR(DATEVALUE(Data!D773),IFERROR(DATEVALUE(SUBSTITUTE(Data!D773,"-"," ")),""))))</f>
        <v/>
      </c>
      <c r="C773">
        <f>IF(Data!A773="","",IF(AND(A773="",B773=""),"Undated",IF(AND(A773&lt;&gt;"",TODAY()&lt;A773),"Upcoming",IF(AND(B773&lt;&gt;"",TODAY()&gt;B773),"Completed","Active"))))</f>
        <v/>
      </c>
    </row>
    <row r="774">
      <c r="A774" s="2">
        <f>IF(Data!A774="","",IF(ISNUMBER(Data!C774),Data!C774,IFERROR(DATEVALUE(Data!C774),IFERROR(DATEVALUE(SUBSTITUTE(Data!C774,"-"," ")),""))))</f>
        <v/>
      </c>
      <c r="B774" s="2">
        <f>IF(Data!A774="","",IF(ISNUMBER(Data!D774),Data!D774,IFERROR(DATEVALUE(Data!D774),IFERROR(DATEVALUE(SUBSTITUTE(Data!D774,"-"," ")),""))))</f>
        <v/>
      </c>
      <c r="C774">
        <f>IF(Data!A774="","",IF(AND(A774="",B774=""),"Undated",IF(AND(A774&lt;&gt;"",TODAY()&lt;A774),"Upcoming",IF(AND(B774&lt;&gt;"",TODAY()&gt;B774),"Completed","Active"))))</f>
        <v/>
      </c>
    </row>
    <row r="775">
      <c r="A775" s="2">
        <f>IF(Data!A775="","",IF(ISNUMBER(Data!C775),Data!C775,IFERROR(DATEVALUE(Data!C775),IFERROR(DATEVALUE(SUBSTITUTE(Data!C775,"-"," ")),""))))</f>
        <v/>
      </c>
      <c r="B775" s="2">
        <f>IF(Data!A775="","",IF(ISNUMBER(Data!D775),Data!D775,IFERROR(DATEVALUE(Data!D775),IFERROR(DATEVALUE(SUBSTITUTE(Data!D775,"-"," ")),""))))</f>
        <v/>
      </c>
      <c r="C775">
        <f>IF(Data!A775="","",IF(AND(A775="",B775=""),"Undated",IF(AND(A775&lt;&gt;"",TODAY()&lt;A775),"Upcoming",IF(AND(B775&lt;&gt;"",TODAY()&gt;B775),"Completed","Active"))))</f>
        <v/>
      </c>
    </row>
    <row r="776">
      <c r="A776" s="2">
        <f>IF(Data!A776="","",IF(ISNUMBER(Data!C776),Data!C776,IFERROR(DATEVALUE(Data!C776),IFERROR(DATEVALUE(SUBSTITUTE(Data!C776,"-"," ")),""))))</f>
        <v/>
      </c>
      <c r="B776" s="2">
        <f>IF(Data!A776="","",IF(ISNUMBER(Data!D776),Data!D776,IFERROR(DATEVALUE(Data!D776),IFERROR(DATEVALUE(SUBSTITUTE(Data!D776,"-"," ")),""))))</f>
        <v/>
      </c>
      <c r="C776">
        <f>IF(Data!A776="","",IF(AND(A776="",B776=""),"Undated",IF(AND(A776&lt;&gt;"",TODAY()&lt;A776),"Upcoming",IF(AND(B776&lt;&gt;"",TODAY()&gt;B776),"Completed","Active"))))</f>
        <v/>
      </c>
    </row>
    <row r="777">
      <c r="A777" s="2">
        <f>IF(Data!A777="","",IF(ISNUMBER(Data!C777),Data!C777,IFERROR(DATEVALUE(Data!C777),IFERROR(DATEVALUE(SUBSTITUTE(Data!C777,"-"," ")),""))))</f>
        <v/>
      </c>
      <c r="B777" s="2">
        <f>IF(Data!A777="","",IF(ISNUMBER(Data!D777),Data!D777,IFERROR(DATEVALUE(Data!D777),IFERROR(DATEVALUE(SUBSTITUTE(Data!D777,"-"," ")),""))))</f>
        <v/>
      </c>
      <c r="C777">
        <f>IF(Data!A777="","",IF(AND(A777="",B777=""),"Undated",IF(AND(A777&lt;&gt;"",TODAY()&lt;A777),"Upcoming",IF(AND(B777&lt;&gt;"",TODAY()&gt;B777),"Completed","Active"))))</f>
        <v/>
      </c>
    </row>
    <row r="778">
      <c r="A778" s="2">
        <f>IF(Data!A778="","",IF(ISNUMBER(Data!C778),Data!C778,IFERROR(DATEVALUE(Data!C778),IFERROR(DATEVALUE(SUBSTITUTE(Data!C778,"-"," ")),""))))</f>
        <v/>
      </c>
      <c r="B778" s="2">
        <f>IF(Data!A778="","",IF(ISNUMBER(Data!D778),Data!D778,IFERROR(DATEVALUE(Data!D778),IFERROR(DATEVALUE(SUBSTITUTE(Data!D778,"-"," ")),""))))</f>
        <v/>
      </c>
      <c r="C778">
        <f>IF(Data!A778="","",IF(AND(A778="",B778=""),"Undated",IF(AND(A778&lt;&gt;"",TODAY()&lt;A778),"Upcoming",IF(AND(B778&lt;&gt;"",TODAY()&gt;B778),"Completed","Active"))))</f>
        <v/>
      </c>
    </row>
    <row r="779">
      <c r="A779" s="2">
        <f>IF(Data!A779="","",IF(ISNUMBER(Data!C779),Data!C779,IFERROR(DATEVALUE(Data!C779),IFERROR(DATEVALUE(SUBSTITUTE(Data!C779,"-"," ")),""))))</f>
        <v/>
      </c>
      <c r="B779" s="2">
        <f>IF(Data!A779="","",IF(ISNUMBER(Data!D779),Data!D779,IFERROR(DATEVALUE(Data!D779),IFERROR(DATEVALUE(SUBSTITUTE(Data!D779,"-"," ")),""))))</f>
        <v/>
      </c>
      <c r="C779">
        <f>IF(Data!A779="","",IF(AND(A779="",B779=""),"Undated",IF(AND(A779&lt;&gt;"",TODAY()&lt;A779),"Upcoming",IF(AND(B779&lt;&gt;"",TODAY()&gt;B779),"Completed","Active"))))</f>
        <v/>
      </c>
    </row>
    <row r="780">
      <c r="A780" s="2">
        <f>IF(Data!A780="","",IF(ISNUMBER(Data!C780),Data!C780,IFERROR(DATEVALUE(Data!C780),IFERROR(DATEVALUE(SUBSTITUTE(Data!C780,"-"," ")),""))))</f>
        <v/>
      </c>
      <c r="B780" s="2">
        <f>IF(Data!A780="","",IF(ISNUMBER(Data!D780),Data!D780,IFERROR(DATEVALUE(Data!D780),IFERROR(DATEVALUE(SUBSTITUTE(Data!D780,"-"," ")),""))))</f>
        <v/>
      </c>
      <c r="C780">
        <f>IF(Data!A780="","",IF(AND(A780="",B780=""),"Undated",IF(AND(A780&lt;&gt;"",TODAY()&lt;A780),"Upcoming",IF(AND(B780&lt;&gt;"",TODAY()&gt;B780),"Completed","Active"))))</f>
        <v/>
      </c>
    </row>
    <row r="781">
      <c r="A781" s="2">
        <f>IF(Data!A781="","",IF(ISNUMBER(Data!C781),Data!C781,IFERROR(DATEVALUE(Data!C781),IFERROR(DATEVALUE(SUBSTITUTE(Data!C781,"-"," ")),""))))</f>
        <v/>
      </c>
      <c r="B781" s="2">
        <f>IF(Data!A781="","",IF(ISNUMBER(Data!D781),Data!D781,IFERROR(DATEVALUE(Data!D781),IFERROR(DATEVALUE(SUBSTITUTE(Data!D781,"-"," ")),""))))</f>
        <v/>
      </c>
      <c r="C781">
        <f>IF(Data!A781="","",IF(AND(A781="",B781=""),"Undated",IF(AND(A781&lt;&gt;"",TODAY()&lt;A781),"Upcoming",IF(AND(B781&lt;&gt;"",TODAY()&gt;B781),"Completed","Active"))))</f>
        <v/>
      </c>
    </row>
    <row r="782">
      <c r="A782" s="2">
        <f>IF(Data!A782="","",IF(ISNUMBER(Data!C782),Data!C782,IFERROR(DATEVALUE(Data!C782),IFERROR(DATEVALUE(SUBSTITUTE(Data!C782,"-"," ")),""))))</f>
        <v/>
      </c>
      <c r="B782" s="2">
        <f>IF(Data!A782="","",IF(ISNUMBER(Data!D782),Data!D782,IFERROR(DATEVALUE(Data!D782),IFERROR(DATEVALUE(SUBSTITUTE(Data!D782,"-"," ")),""))))</f>
        <v/>
      </c>
      <c r="C782">
        <f>IF(Data!A782="","",IF(AND(A782="",B782=""),"Undated",IF(AND(A782&lt;&gt;"",TODAY()&lt;A782),"Upcoming",IF(AND(B782&lt;&gt;"",TODAY()&gt;B782),"Completed","Active"))))</f>
        <v/>
      </c>
    </row>
    <row r="783">
      <c r="A783" s="2">
        <f>IF(Data!A783="","",IF(ISNUMBER(Data!C783),Data!C783,IFERROR(DATEVALUE(Data!C783),IFERROR(DATEVALUE(SUBSTITUTE(Data!C783,"-"," ")),""))))</f>
        <v/>
      </c>
      <c r="B783" s="2">
        <f>IF(Data!A783="","",IF(ISNUMBER(Data!D783),Data!D783,IFERROR(DATEVALUE(Data!D783),IFERROR(DATEVALUE(SUBSTITUTE(Data!D783,"-"," ")),""))))</f>
        <v/>
      </c>
      <c r="C783">
        <f>IF(Data!A783="","",IF(AND(A783="",B783=""),"Undated",IF(AND(A783&lt;&gt;"",TODAY()&lt;A783),"Upcoming",IF(AND(B783&lt;&gt;"",TODAY()&gt;B783),"Completed","Active"))))</f>
        <v/>
      </c>
    </row>
    <row r="784">
      <c r="A784" s="2">
        <f>IF(Data!A784="","",IF(ISNUMBER(Data!C784),Data!C784,IFERROR(DATEVALUE(Data!C784),IFERROR(DATEVALUE(SUBSTITUTE(Data!C784,"-"," ")),""))))</f>
        <v/>
      </c>
      <c r="B784" s="2">
        <f>IF(Data!A784="","",IF(ISNUMBER(Data!D784),Data!D784,IFERROR(DATEVALUE(Data!D784),IFERROR(DATEVALUE(SUBSTITUTE(Data!D784,"-"," ")),""))))</f>
        <v/>
      </c>
      <c r="C784">
        <f>IF(Data!A784="","",IF(AND(A784="",B784=""),"Undated",IF(AND(A784&lt;&gt;"",TODAY()&lt;A784),"Upcoming",IF(AND(B784&lt;&gt;"",TODAY()&gt;B784),"Completed","Active"))))</f>
        <v/>
      </c>
    </row>
    <row r="785">
      <c r="A785" s="2">
        <f>IF(Data!A785="","",IF(ISNUMBER(Data!C785),Data!C785,IFERROR(DATEVALUE(Data!C785),IFERROR(DATEVALUE(SUBSTITUTE(Data!C785,"-"," ")),""))))</f>
        <v/>
      </c>
      <c r="B785" s="2">
        <f>IF(Data!A785="","",IF(ISNUMBER(Data!D785),Data!D785,IFERROR(DATEVALUE(Data!D785),IFERROR(DATEVALUE(SUBSTITUTE(Data!D785,"-"," ")),""))))</f>
        <v/>
      </c>
      <c r="C785">
        <f>IF(Data!A785="","",IF(AND(A785="",B785=""),"Undated",IF(AND(A785&lt;&gt;"",TODAY()&lt;A785),"Upcoming",IF(AND(B785&lt;&gt;"",TODAY()&gt;B785),"Completed","Active"))))</f>
        <v/>
      </c>
    </row>
    <row r="786">
      <c r="A786" s="2">
        <f>IF(Data!A786="","",IF(ISNUMBER(Data!C786),Data!C786,IFERROR(DATEVALUE(Data!C786),IFERROR(DATEVALUE(SUBSTITUTE(Data!C786,"-"," ")),""))))</f>
        <v/>
      </c>
      <c r="B786" s="2">
        <f>IF(Data!A786="","",IF(ISNUMBER(Data!D786),Data!D786,IFERROR(DATEVALUE(Data!D786),IFERROR(DATEVALUE(SUBSTITUTE(Data!D786,"-"," ")),""))))</f>
        <v/>
      </c>
      <c r="C786">
        <f>IF(Data!A786="","",IF(AND(A786="",B786=""),"Undated",IF(AND(A786&lt;&gt;"",TODAY()&lt;A786),"Upcoming",IF(AND(B786&lt;&gt;"",TODAY()&gt;B786),"Completed","Active"))))</f>
        <v/>
      </c>
    </row>
    <row r="787">
      <c r="A787" s="2">
        <f>IF(Data!A787="","",IF(ISNUMBER(Data!C787),Data!C787,IFERROR(DATEVALUE(Data!C787),IFERROR(DATEVALUE(SUBSTITUTE(Data!C787,"-"," ")),""))))</f>
        <v/>
      </c>
      <c r="B787" s="2">
        <f>IF(Data!A787="","",IF(ISNUMBER(Data!D787),Data!D787,IFERROR(DATEVALUE(Data!D787),IFERROR(DATEVALUE(SUBSTITUTE(Data!D787,"-"," ")),""))))</f>
        <v/>
      </c>
      <c r="C787">
        <f>IF(Data!A787="","",IF(AND(A787="",B787=""),"Undated",IF(AND(A787&lt;&gt;"",TODAY()&lt;A787),"Upcoming",IF(AND(B787&lt;&gt;"",TODAY()&gt;B787),"Completed","Active"))))</f>
        <v/>
      </c>
    </row>
    <row r="788">
      <c r="A788" s="2">
        <f>IF(Data!A788="","",IF(ISNUMBER(Data!C788),Data!C788,IFERROR(DATEVALUE(Data!C788),IFERROR(DATEVALUE(SUBSTITUTE(Data!C788,"-"," ")),""))))</f>
        <v/>
      </c>
      <c r="B788" s="2">
        <f>IF(Data!A788="","",IF(ISNUMBER(Data!D788),Data!D788,IFERROR(DATEVALUE(Data!D788),IFERROR(DATEVALUE(SUBSTITUTE(Data!D788,"-"," ")),""))))</f>
        <v/>
      </c>
      <c r="C788">
        <f>IF(Data!A788="","",IF(AND(A788="",B788=""),"Undated",IF(AND(A788&lt;&gt;"",TODAY()&lt;A788),"Upcoming",IF(AND(B788&lt;&gt;"",TODAY()&gt;B788),"Completed","Active"))))</f>
        <v/>
      </c>
    </row>
    <row r="789">
      <c r="A789" s="2">
        <f>IF(Data!A789="","",IF(ISNUMBER(Data!C789),Data!C789,IFERROR(DATEVALUE(Data!C789),IFERROR(DATEVALUE(SUBSTITUTE(Data!C789,"-"," ")),""))))</f>
        <v/>
      </c>
      <c r="B789" s="2">
        <f>IF(Data!A789="","",IF(ISNUMBER(Data!D789),Data!D789,IFERROR(DATEVALUE(Data!D789),IFERROR(DATEVALUE(SUBSTITUTE(Data!D789,"-"," ")),""))))</f>
        <v/>
      </c>
      <c r="C789">
        <f>IF(Data!A789="","",IF(AND(A789="",B789=""),"Undated",IF(AND(A789&lt;&gt;"",TODAY()&lt;A789),"Upcoming",IF(AND(B789&lt;&gt;"",TODAY()&gt;B789),"Completed","Active"))))</f>
        <v/>
      </c>
    </row>
    <row r="790">
      <c r="A790" s="2">
        <f>IF(Data!A790="","",IF(ISNUMBER(Data!C790),Data!C790,IFERROR(DATEVALUE(Data!C790),IFERROR(DATEVALUE(SUBSTITUTE(Data!C790,"-"," ")),""))))</f>
        <v/>
      </c>
      <c r="B790" s="2">
        <f>IF(Data!A790="","",IF(ISNUMBER(Data!D790),Data!D790,IFERROR(DATEVALUE(Data!D790),IFERROR(DATEVALUE(SUBSTITUTE(Data!D790,"-"," ")),""))))</f>
        <v/>
      </c>
      <c r="C790">
        <f>IF(Data!A790="","",IF(AND(A790="",B790=""),"Undated",IF(AND(A790&lt;&gt;"",TODAY()&lt;A790),"Upcoming",IF(AND(B790&lt;&gt;"",TODAY()&gt;B790),"Completed","Active"))))</f>
        <v/>
      </c>
    </row>
    <row r="791">
      <c r="A791" s="2">
        <f>IF(Data!A791="","",IF(ISNUMBER(Data!C791),Data!C791,IFERROR(DATEVALUE(Data!C791),IFERROR(DATEVALUE(SUBSTITUTE(Data!C791,"-"," ")),""))))</f>
        <v/>
      </c>
      <c r="B791" s="2">
        <f>IF(Data!A791="","",IF(ISNUMBER(Data!D791),Data!D791,IFERROR(DATEVALUE(Data!D791),IFERROR(DATEVALUE(SUBSTITUTE(Data!D791,"-"," ")),""))))</f>
        <v/>
      </c>
      <c r="C791">
        <f>IF(Data!A791="","",IF(AND(A791="",B791=""),"Undated",IF(AND(A791&lt;&gt;"",TODAY()&lt;A791),"Upcoming",IF(AND(B791&lt;&gt;"",TODAY()&gt;B791),"Completed","Active"))))</f>
        <v/>
      </c>
    </row>
    <row r="792">
      <c r="A792" s="2">
        <f>IF(Data!A792="","",IF(ISNUMBER(Data!C792),Data!C792,IFERROR(DATEVALUE(Data!C792),IFERROR(DATEVALUE(SUBSTITUTE(Data!C792,"-"," ")),""))))</f>
        <v/>
      </c>
      <c r="B792" s="2">
        <f>IF(Data!A792="","",IF(ISNUMBER(Data!D792),Data!D792,IFERROR(DATEVALUE(Data!D792),IFERROR(DATEVALUE(SUBSTITUTE(Data!D792,"-"," ")),""))))</f>
        <v/>
      </c>
      <c r="C792">
        <f>IF(Data!A792="","",IF(AND(A792="",B792=""),"Undated",IF(AND(A792&lt;&gt;"",TODAY()&lt;A792),"Upcoming",IF(AND(B792&lt;&gt;"",TODAY()&gt;B792),"Completed","Active"))))</f>
        <v/>
      </c>
    </row>
    <row r="793">
      <c r="A793" s="2">
        <f>IF(Data!A793="","",IF(ISNUMBER(Data!C793),Data!C793,IFERROR(DATEVALUE(Data!C793),IFERROR(DATEVALUE(SUBSTITUTE(Data!C793,"-"," ")),""))))</f>
        <v/>
      </c>
      <c r="B793" s="2">
        <f>IF(Data!A793="","",IF(ISNUMBER(Data!D793),Data!D793,IFERROR(DATEVALUE(Data!D793),IFERROR(DATEVALUE(SUBSTITUTE(Data!D793,"-"," ")),""))))</f>
        <v/>
      </c>
      <c r="C793">
        <f>IF(Data!A793="","",IF(AND(A793="",B793=""),"Undated",IF(AND(A793&lt;&gt;"",TODAY()&lt;A793),"Upcoming",IF(AND(B793&lt;&gt;"",TODAY()&gt;B793),"Completed","Active"))))</f>
        <v/>
      </c>
    </row>
    <row r="794">
      <c r="A794" s="2">
        <f>IF(Data!A794="","",IF(ISNUMBER(Data!C794),Data!C794,IFERROR(DATEVALUE(Data!C794),IFERROR(DATEVALUE(SUBSTITUTE(Data!C794,"-"," ")),""))))</f>
        <v/>
      </c>
      <c r="B794" s="2">
        <f>IF(Data!A794="","",IF(ISNUMBER(Data!D794),Data!D794,IFERROR(DATEVALUE(Data!D794),IFERROR(DATEVALUE(SUBSTITUTE(Data!D794,"-"," ")),""))))</f>
        <v/>
      </c>
      <c r="C794">
        <f>IF(Data!A794="","",IF(AND(A794="",B794=""),"Undated",IF(AND(A794&lt;&gt;"",TODAY()&lt;A794),"Upcoming",IF(AND(B794&lt;&gt;"",TODAY()&gt;B794),"Completed","Active"))))</f>
        <v/>
      </c>
    </row>
    <row r="795">
      <c r="A795" s="2">
        <f>IF(Data!A795="","",IF(ISNUMBER(Data!C795),Data!C795,IFERROR(DATEVALUE(Data!C795),IFERROR(DATEVALUE(SUBSTITUTE(Data!C795,"-"," ")),""))))</f>
        <v/>
      </c>
      <c r="B795" s="2">
        <f>IF(Data!A795="","",IF(ISNUMBER(Data!D795),Data!D795,IFERROR(DATEVALUE(Data!D795),IFERROR(DATEVALUE(SUBSTITUTE(Data!D795,"-"," ")),""))))</f>
        <v/>
      </c>
      <c r="C795">
        <f>IF(Data!A795="","",IF(AND(A795="",B795=""),"Undated",IF(AND(A795&lt;&gt;"",TODAY()&lt;A795),"Upcoming",IF(AND(B795&lt;&gt;"",TODAY()&gt;B795),"Completed","Active"))))</f>
        <v/>
      </c>
    </row>
    <row r="796">
      <c r="A796" s="2">
        <f>IF(Data!A796="","",IF(ISNUMBER(Data!C796),Data!C796,IFERROR(DATEVALUE(Data!C796),IFERROR(DATEVALUE(SUBSTITUTE(Data!C796,"-"," ")),""))))</f>
        <v/>
      </c>
      <c r="B796" s="2">
        <f>IF(Data!A796="","",IF(ISNUMBER(Data!D796),Data!D796,IFERROR(DATEVALUE(Data!D796),IFERROR(DATEVALUE(SUBSTITUTE(Data!D796,"-"," ")),""))))</f>
        <v/>
      </c>
      <c r="C796">
        <f>IF(Data!A796="","",IF(AND(A796="",B796=""),"Undated",IF(AND(A796&lt;&gt;"",TODAY()&lt;A796),"Upcoming",IF(AND(B796&lt;&gt;"",TODAY()&gt;B796),"Completed","Active"))))</f>
        <v/>
      </c>
    </row>
    <row r="797">
      <c r="A797" s="2">
        <f>IF(Data!A797="","",IF(ISNUMBER(Data!C797),Data!C797,IFERROR(DATEVALUE(Data!C797),IFERROR(DATEVALUE(SUBSTITUTE(Data!C797,"-"," ")),""))))</f>
        <v/>
      </c>
      <c r="B797" s="2">
        <f>IF(Data!A797="","",IF(ISNUMBER(Data!D797),Data!D797,IFERROR(DATEVALUE(Data!D797),IFERROR(DATEVALUE(SUBSTITUTE(Data!D797,"-"," ")),""))))</f>
        <v/>
      </c>
      <c r="C797">
        <f>IF(Data!A797="","",IF(AND(A797="",B797=""),"Undated",IF(AND(A797&lt;&gt;"",TODAY()&lt;A797),"Upcoming",IF(AND(B797&lt;&gt;"",TODAY()&gt;B797),"Completed","Active"))))</f>
        <v/>
      </c>
    </row>
    <row r="798">
      <c r="A798" s="2">
        <f>IF(Data!A798="","",IF(ISNUMBER(Data!C798),Data!C798,IFERROR(DATEVALUE(Data!C798),IFERROR(DATEVALUE(SUBSTITUTE(Data!C798,"-"," ")),""))))</f>
        <v/>
      </c>
      <c r="B798" s="2">
        <f>IF(Data!A798="","",IF(ISNUMBER(Data!D798),Data!D798,IFERROR(DATEVALUE(Data!D798),IFERROR(DATEVALUE(SUBSTITUTE(Data!D798,"-"," ")),""))))</f>
        <v/>
      </c>
      <c r="C798">
        <f>IF(Data!A798="","",IF(AND(A798="",B798=""),"Undated",IF(AND(A798&lt;&gt;"",TODAY()&lt;A798),"Upcoming",IF(AND(B798&lt;&gt;"",TODAY()&gt;B798),"Completed","Active"))))</f>
        <v/>
      </c>
    </row>
    <row r="799">
      <c r="A799" s="2">
        <f>IF(Data!A799="","",IF(ISNUMBER(Data!C799),Data!C799,IFERROR(DATEVALUE(Data!C799),IFERROR(DATEVALUE(SUBSTITUTE(Data!C799,"-"," ")),""))))</f>
        <v/>
      </c>
      <c r="B799" s="2">
        <f>IF(Data!A799="","",IF(ISNUMBER(Data!D799),Data!D799,IFERROR(DATEVALUE(Data!D799),IFERROR(DATEVALUE(SUBSTITUTE(Data!D799,"-"," ")),""))))</f>
        <v/>
      </c>
      <c r="C799">
        <f>IF(Data!A799="","",IF(AND(A799="",B799=""),"Undated",IF(AND(A799&lt;&gt;"",TODAY()&lt;A799),"Upcoming",IF(AND(B799&lt;&gt;"",TODAY()&gt;B799),"Completed","Active"))))</f>
        <v/>
      </c>
    </row>
    <row r="800">
      <c r="A800" s="2">
        <f>IF(Data!A800="","",IF(ISNUMBER(Data!C800),Data!C800,IFERROR(DATEVALUE(Data!C800),IFERROR(DATEVALUE(SUBSTITUTE(Data!C800,"-"," ")),""))))</f>
        <v/>
      </c>
      <c r="B800" s="2">
        <f>IF(Data!A800="","",IF(ISNUMBER(Data!D800),Data!D800,IFERROR(DATEVALUE(Data!D800),IFERROR(DATEVALUE(SUBSTITUTE(Data!D800,"-"," ")),""))))</f>
        <v/>
      </c>
      <c r="C800">
        <f>IF(Data!A800="","",IF(AND(A800="",B800=""),"Undated",IF(AND(A800&lt;&gt;"",TODAY()&lt;A800),"Upcoming",IF(AND(B800&lt;&gt;"",TODAY()&gt;B800),"Completed","Active"))))</f>
        <v/>
      </c>
    </row>
    <row r="801">
      <c r="A801" s="2">
        <f>IF(Data!A801="","",IF(ISNUMBER(Data!C801),Data!C801,IFERROR(DATEVALUE(Data!C801),IFERROR(DATEVALUE(SUBSTITUTE(Data!C801,"-"," ")),""))))</f>
        <v/>
      </c>
      <c r="B801" s="2">
        <f>IF(Data!A801="","",IF(ISNUMBER(Data!D801),Data!D801,IFERROR(DATEVALUE(Data!D801),IFERROR(DATEVALUE(SUBSTITUTE(Data!D801,"-"," ")),""))))</f>
        <v/>
      </c>
      <c r="C801">
        <f>IF(Data!A801="","",IF(AND(A801="",B801=""),"Undated",IF(AND(A801&lt;&gt;"",TODAY()&lt;A801),"Upcoming",IF(AND(B801&lt;&gt;"",TODAY()&gt;B801),"Completed","Active"))))</f>
        <v/>
      </c>
    </row>
    <row r="802">
      <c r="A802" s="2">
        <f>IF(Data!A802="","",IF(ISNUMBER(Data!C802),Data!C802,IFERROR(DATEVALUE(Data!C802),IFERROR(DATEVALUE(SUBSTITUTE(Data!C802,"-"," ")),""))))</f>
        <v/>
      </c>
      <c r="B802" s="2">
        <f>IF(Data!A802="","",IF(ISNUMBER(Data!D802),Data!D802,IFERROR(DATEVALUE(Data!D802),IFERROR(DATEVALUE(SUBSTITUTE(Data!D802,"-"," ")),""))))</f>
        <v/>
      </c>
      <c r="C802">
        <f>IF(Data!A802="","",IF(AND(A802="",B802=""),"Undated",IF(AND(A802&lt;&gt;"",TODAY()&lt;A802),"Upcoming",IF(AND(B802&lt;&gt;"",TODAY()&gt;B802),"Completed","Active"))))</f>
        <v/>
      </c>
    </row>
    <row r="803">
      <c r="A803" s="2">
        <f>IF(Data!A803="","",IF(ISNUMBER(Data!C803),Data!C803,IFERROR(DATEVALUE(Data!C803),IFERROR(DATEVALUE(SUBSTITUTE(Data!C803,"-"," ")),""))))</f>
        <v/>
      </c>
      <c r="B803" s="2">
        <f>IF(Data!A803="","",IF(ISNUMBER(Data!D803),Data!D803,IFERROR(DATEVALUE(Data!D803),IFERROR(DATEVALUE(SUBSTITUTE(Data!D803,"-"," ")),""))))</f>
        <v/>
      </c>
      <c r="C803">
        <f>IF(Data!A803="","",IF(AND(A803="",B803=""),"Undated",IF(AND(A803&lt;&gt;"",TODAY()&lt;A803),"Upcoming",IF(AND(B803&lt;&gt;"",TODAY()&gt;B803),"Completed","Active"))))</f>
        <v/>
      </c>
    </row>
    <row r="804">
      <c r="A804" s="2">
        <f>IF(Data!A804="","",IF(ISNUMBER(Data!C804),Data!C804,IFERROR(DATEVALUE(Data!C804),IFERROR(DATEVALUE(SUBSTITUTE(Data!C804,"-"," ")),""))))</f>
        <v/>
      </c>
      <c r="B804" s="2">
        <f>IF(Data!A804="","",IF(ISNUMBER(Data!D804),Data!D804,IFERROR(DATEVALUE(Data!D804),IFERROR(DATEVALUE(SUBSTITUTE(Data!D804,"-"," ")),""))))</f>
        <v/>
      </c>
      <c r="C804">
        <f>IF(Data!A804="","",IF(AND(A804="",B804=""),"Undated",IF(AND(A804&lt;&gt;"",TODAY()&lt;A804),"Upcoming",IF(AND(B804&lt;&gt;"",TODAY()&gt;B804),"Completed","Active"))))</f>
        <v/>
      </c>
    </row>
    <row r="805">
      <c r="A805" s="2">
        <f>IF(Data!A805="","",IF(ISNUMBER(Data!C805),Data!C805,IFERROR(DATEVALUE(Data!C805),IFERROR(DATEVALUE(SUBSTITUTE(Data!C805,"-"," ")),""))))</f>
        <v/>
      </c>
      <c r="B805" s="2">
        <f>IF(Data!A805="","",IF(ISNUMBER(Data!D805),Data!D805,IFERROR(DATEVALUE(Data!D805),IFERROR(DATEVALUE(SUBSTITUTE(Data!D805,"-"," ")),""))))</f>
        <v/>
      </c>
      <c r="C805">
        <f>IF(Data!A805="","",IF(AND(A805="",B805=""),"Undated",IF(AND(A805&lt;&gt;"",TODAY()&lt;A805),"Upcoming",IF(AND(B805&lt;&gt;"",TODAY()&gt;B805),"Completed","Active"))))</f>
        <v/>
      </c>
    </row>
    <row r="806">
      <c r="A806" s="2">
        <f>IF(Data!A806="","",IF(ISNUMBER(Data!C806),Data!C806,IFERROR(DATEVALUE(Data!C806),IFERROR(DATEVALUE(SUBSTITUTE(Data!C806,"-"," ")),""))))</f>
        <v/>
      </c>
      <c r="B806" s="2">
        <f>IF(Data!A806="","",IF(ISNUMBER(Data!D806),Data!D806,IFERROR(DATEVALUE(Data!D806),IFERROR(DATEVALUE(SUBSTITUTE(Data!D806,"-"," ")),""))))</f>
        <v/>
      </c>
      <c r="C806">
        <f>IF(Data!A806="","",IF(AND(A806="",B806=""),"Undated",IF(AND(A806&lt;&gt;"",TODAY()&lt;A806),"Upcoming",IF(AND(B806&lt;&gt;"",TODAY()&gt;B806),"Completed","Active"))))</f>
        <v/>
      </c>
    </row>
    <row r="807">
      <c r="A807" s="2">
        <f>IF(Data!A807="","",IF(ISNUMBER(Data!C807),Data!C807,IFERROR(DATEVALUE(Data!C807),IFERROR(DATEVALUE(SUBSTITUTE(Data!C807,"-"," ")),""))))</f>
        <v/>
      </c>
      <c r="B807" s="2">
        <f>IF(Data!A807="","",IF(ISNUMBER(Data!D807),Data!D807,IFERROR(DATEVALUE(Data!D807),IFERROR(DATEVALUE(SUBSTITUTE(Data!D807,"-"," ")),""))))</f>
        <v/>
      </c>
      <c r="C807">
        <f>IF(Data!A807="","",IF(AND(A807="",B807=""),"Undated",IF(AND(A807&lt;&gt;"",TODAY()&lt;A807),"Upcoming",IF(AND(B807&lt;&gt;"",TODAY()&gt;B807),"Completed","Active"))))</f>
        <v/>
      </c>
    </row>
    <row r="808">
      <c r="A808" s="2">
        <f>IF(Data!A808="","",IF(ISNUMBER(Data!C808),Data!C808,IFERROR(DATEVALUE(Data!C808),IFERROR(DATEVALUE(SUBSTITUTE(Data!C808,"-"," ")),""))))</f>
        <v/>
      </c>
      <c r="B808" s="2">
        <f>IF(Data!A808="","",IF(ISNUMBER(Data!D808),Data!D808,IFERROR(DATEVALUE(Data!D808),IFERROR(DATEVALUE(SUBSTITUTE(Data!D808,"-"," ")),""))))</f>
        <v/>
      </c>
      <c r="C808">
        <f>IF(Data!A808="","",IF(AND(A808="",B808=""),"Undated",IF(AND(A808&lt;&gt;"",TODAY()&lt;A808),"Upcoming",IF(AND(B808&lt;&gt;"",TODAY()&gt;B808),"Completed","Active"))))</f>
        <v/>
      </c>
    </row>
    <row r="809">
      <c r="A809" s="2">
        <f>IF(Data!A809="","",IF(ISNUMBER(Data!C809),Data!C809,IFERROR(DATEVALUE(Data!C809),IFERROR(DATEVALUE(SUBSTITUTE(Data!C809,"-"," ")),""))))</f>
        <v/>
      </c>
      <c r="B809" s="2">
        <f>IF(Data!A809="","",IF(ISNUMBER(Data!D809),Data!D809,IFERROR(DATEVALUE(Data!D809),IFERROR(DATEVALUE(SUBSTITUTE(Data!D809,"-"," ")),""))))</f>
        <v/>
      </c>
      <c r="C809">
        <f>IF(Data!A809="","",IF(AND(A809="",B809=""),"Undated",IF(AND(A809&lt;&gt;"",TODAY()&lt;A809),"Upcoming",IF(AND(B809&lt;&gt;"",TODAY()&gt;B809),"Completed","Active"))))</f>
        <v/>
      </c>
    </row>
    <row r="810">
      <c r="A810" s="2">
        <f>IF(Data!A810="","",IF(ISNUMBER(Data!C810),Data!C810,IFERROR(DATEVALUE(Data!C810),IFERROR(DATEVALUE(SUBSTITUTE(Data!C810,"-"," ")),""))))</f>
        <v/>
      </c>
      <c r="B810" s="2">
        <f>IF(Data!A810="","",IF(ISNUMBER(Data!D810),Data!D810,IFERROR(DATEVALUE(Data!D810),IFERROR(DATEVALUE(SUBSTITUTE(Data!D810,"-"," ")),""))))</f>
        <v/>
      </c>
      <c r="C810">
        <f>IF(Data!A810="","",IF(AND(A810="",B810=""),"Undated",IF(AND(A810&lt;&gt;"",TODAY()&lt;A810),"Upcoming",IF(AND(B810&lt;&gt;"",TODAY()&gt;B810),"Completed","Active"))))</f>
        <v/>
      </c>
    </row>
    <row r="811">
      <c r="A811" s="2">
        <f>IF(Data!A811="","",IF(ISNUMBER(Data!C811),Data!C811,IFERROR(DATEVALUE(Data!C811),IFERROR(DATEVALUE(SUBSTITUTE(Data!C811,"-"," ")),""))))</f>
        <v/>
      </c>
      <c r="B811" s="2">
        <f>IF(Data!A811="","",IF(ISNUMBER(Data!D811),Data!D811,IFERROR(DATEVALUE(Data!D811),IFERROR(DATEVALUE(SUBSTITUTE(Data!D811,"-"," ")),""))))</f>
        <v/>
      </c>
      <c r="C811">
        <f>IF(Data!A811="","",IF(AND(A811="",B811=""),"Undated",IF(AND(A811&lt;&gt;"",TODAY()&lt;A811),"Upcoming",IF(AND(B811&lt;&gt;"",TODAY()&gt;B811),"Completed","Active"))))</f>
        <v/>
      </c>
    </row>
    <row r="812">
      <c r="A812" s="2">
        <f>IF(Data!A812="","",IF(ISNUMBER(Data!C812),Data!C812,IFERROR(DATEVALUE(Data!C812),IFERROR(DATEVALUE(SUBSTITUTE(Data!C812,"-"," ")),""))))</f>
        <v/>
      </c>
      <c r="B812" s="2">
        <f>IF(Data!A812="","",IF(ISNUMBER(Data!D812),Data!D812,IFERROR(DATEVALUE(Data!D812),IFERROR(DATEVALUE(SUBSTITUTE(Data!D812,"-"," ")),""))))</f>
        <v/>
      </c>
      <c r="C812">
        <f>IF(Data!A812="","",IF(AND(A812="",B812=""),"Undated",IF(AND(A812&lt;&gt;"",TODAY()&lt;A812),"Upcoming",IF(AND(B812&lt;&gt;"",TODAY()&gt;B812),"Completed","Active"))))</f>
        <v/>
      </c>
    </row>
    <row r="813">
      <c r="A813" s="2">
        <f>IF(Data!A813="","",IF(ISNUMBER(Data!C813),Data!C813,IFERROR(DATEVALUE(Data!C813),IFERROR(DATEVALUE(SUBSTITUTE(Data!C813,"-"," ")),""))))</f>
        <v/>
      </c>
      <c r="B813" s="2">
        <f>IF(Data!A813="","",IF(ISNUMBER(Data!D813),Data!D813,IFERROR(DATEVALUE(Data!D813),IFERROR(DATEVALUE(SUBSTITUTE(Data!D813,"-"," ")),""))))</f>
        <v/>
      </c>
      <c r="C813">
        <f>IF(Data!A813="","",IF(AND(A813="",B813=""),"Undated",IF(AND(A813&lt;&gt;"",TODAY()&lt;A813),"Upcoming",IF(AND(B813&lt;&gt;"",TODAY()&gt;B813),"Completed","Active"))))</f>
        <v/>
      </c>
    </row>
    <row r="814">
      <c r="A814" s="2">
        <f>IF(Data!A814="","",IF(ISNUMBER(Data!C814),Data!C814,IFERROR(DATEVALUE(Data!C814),IFERROR(DATEVALUE(SUBSTITUTE(Data!C814,"-"," ")),""))))</f>
        <v/>
      </c>
      <c r="B814" s="2">
        <f>IF(Data!A814="","",IF(ISNUMBER(Data!D814),Data!D814,IFERROR(DATEVALUE(Data!D814),IFERROR(DATEVALUE(SUBSTITUTE(Data!D814,"-"," ")),""))))</f>
        <v/>
      </c>
      <c r="C814">
        <f>IF(Data!A814="","",IF(AND(A814="",B814=""),"Undated",IF(AND(A814&lt;&gt;"",TODAY()&lt;A814),"Upcoming",IF(AND(B814&lt;&gt;"",TODAY()&gt;B814),"Completed","Active"))))</f>
        <v/>
      </c>
    </row>
    <row r="815">
      <c r="A815" s="2">
        <f>IF(Data!A815="","",IF(ISNUMBER(Data!C815),Data!C815,IFERROR(DATEVALUE(Data!C815),IFERROR(DATEVALUE(SUBSTITUTE(Data!C815,"-"," ")),""))))</f>
        <v/>
      </c>
      <c r="B815" s="2">
        <f>IF(Data!A815="","",IF(ISNUMBER(Data!D815),Data!D815,IFERROR(DATEVALUE(Data!D815),IFERROR(DATEVALUE(SUBSTITUTE(Data!D815,"-"," ")),""))))</f>
        <v/>
      </c>
      <c r="C815">
        <f>IF(Data!A815="","",IF(AND(A815="",B815=""),"Undated",IF(AND(A815&lt;&gt;"",TODAY()&lt;A815),"Upcoming",IF(AND(B815&lt;&gt;"",TODAY()&gt;B815),"Completed","Active"))))</f>
        <v/>
      </c>
    </row>
    <row r="816">
      <c r="A816" s="2">
        <f>IF(Data!A816="","",IF(ISNUMBER(Data!C816),Data!C816,IFERROR(DATEVALUE(Data!C816),IFERROR(DATEVALUE(SUBSTITUTE(Data!C816,"-"," ")),""))))</f>
        <v/>
      </c>
      <c r="B816" s="2">
        <f>IF(Data!A816="","",IF(ISNUMBER(Data!D816),Data!D816,IFERROR(DATEVALUE(Data!D816),IFERROR(DATEVALUE(SUBSTITUTE(Data!D816,"-"," ")),""))))</f>
        <v/>
      </c>
      <c r="C816">
        <f>IF(Data!A816="","",IF(AND(A816="",B816=""),"Undated",IF(AND(A816&lt;&gt;"",TODAY()&lt;A816),"Upcoming",IF(AND(B816&lt;&gt;"",TODAY()&gt;B816),"Completed","Active"))))</f>
        <v/>
      </c>
    </row>
    <row r="817">
      <c r="A817" s="2">
        <f>IF(Data!A817="","",IF(ISNUMBER(Data!C817),Data!C817,IFERROR(DATEVALUE(Data!C817),IFERROR(DATEVALUE(SUBSTITUTE(Data!C817,"-"," ")),""))))</f>
        <v/>
      </c>
      <c r="B817" s="2">
        <f>IF(Data!A817="","",IF(ISNUMBER(Data!D817),Data!D817,IFERROR(DATEVALUE(Data!D817),IFERROR(DATEVALUE(SUBSTITUTE(Data!D817,"-"," ")),""))))</f>
        <v/>
      </c>
      <c r="C817">
        <f>IF(Data!A817="","",IF(AND(A817="",B817=""),"Undated",IF(AND(A817&lt;&gt;"",TODAY()&lt;A817),"Upcoming",IF(AND(B817&lt;&gt;"",TODAY()&gt;B817),"Completed","Active"))))</f>
        <v/>
      </c>
    </row>
    <row r="818">
      <c r="A818" s="2">
        <f>IF(Data!A818="","",IF(ISNUMBER(Data!C818),Data!C818,IFERROR(DATEVALUE(Data!C818),IFERROR(DATEVALUE(SUBSTITUTE(Data!C818,"-"," ")),""))))</f>
        <v/>
      </c>
      <c r="B818" s="2">
        <f>IF(Data!A818="","",IF(ISNUMBER(Data!D818),Data!D818,IFERROR(DATEVALUE(Data!D818),IFERROR(DATEVALUE(SUBSTITUTE(Data!D818,"-"," ")),""))))</f>
        <v/>
      </c>
      <c r="C818">
        <f>IF(Data!A818="","",IF(AND(A818="",B818=""),"Undated",IF(AND(A818&lt;&gt;"",TODAY()&lt;A818),"Upcoming",IF(AND(B818&lt;&gt;"",TODAY()&gt;B818),"Completed","Active"))))</f>
        <v/>
      </c>
    </row>
    <row r="819">
      <c r="A819" s="2">
        <f>IF(Data!A819="","",IF(ISNUMBER(Data!C819),Data!C819,IFERROR(DATEVALUE(Data!C819),IFERROR(DATEVALUE(SUBSTITUTE(Data!C819,"-"," ")),""))))</f>
        <v/>
      </c>
      <c r="B819" s="2">
        <f>IF(Data!A819="","",IF(ISNUMBER(Data!D819),Data!D819,IFERROR(DATEVALUE(Data!D819),IFERROR(DATEVALUE(SUBSTITUTE(Data!D819,"-"," ")),""))))</f>
        <v/>
      </c>
      <c r="C819">
        <f>IF(Data!A819="","",IF(AND(A819="",B819=""),"Undated",IF(AND(A819&lt;&gt;"",TODAY()&lt;A819),"Upcoming",IF(AND(B819&lt;&gt;"",TODAY()&gt;B819),"Completed","Active"))))</f>
        <v/>
      </c>
    </row>
    <row r="820">
      <c r="A820" s="2">
        <f>IF(Data!A820="","",IF(ISNUMBER(Data!C820),Data!C820,IFERROR(DATEVALUE(Data!C820),IFERROR(DATEVALUE(SUBSTITUTE(Data!C820,"-"," ")),""))))</f>
        <v/>
      </c>
      <c r="B820" s="2">
        <f>IF(Data!A820="","",IF(ISNUMBER(Data!D820),Data!D820,IFERROR(DATEVALUE(Data!D820),IFERROR(DATEVALUE(SUBSTITUTE(Data!D820,"-"," ")),""))))</f>
        <v/>
      </c>
      <c r="C820">
        <f>IF(Data!A820="","",IF(AND(A820="",B820=""),"Undated",IF(AND(A820&lt;&gt;"",TODAY()&lt;A820),"Upcoming",IF(AND(B820&lt;&gt;"",TODAY()&gt;B820),"Completed","Active"))))</f>
        <v/>
      </c>
    </row>
    <row r="821">
      <c r="A821" s="2">
        <f>IF(Data!A821="","",IF(ISNUMBER(Data!C821),Data!C821,IFERROR(DATEVALUE(Data!C821),IFERROR(DATEVALUE(SUBSTITUTE(Data!C821,"-"," ")),""))))</f>
        <v/>
      </c>
      <c r="B821" s="2">
        <f>IF(Data!A821="","",IF(ISNUMBER(Data!D821),Data!D821,IFERROR(DATEVALUE(Data!D821),IFERROR(DATEVALUE(SUBSTITUTE(Data!D821,"-"," ")),""))))</f>
        <v/>
      </c>
      <c r="C821">
        <f>IF(Data!A821="","",IF(AND(A821="",B821=""),"Undated",IF(AND(A821&lt;&gt;"",TODAY()&lt;A821),"Upcoming",IF(AND(B821&lt;&gt;"",TODAY()&gt;B821),"Completed","Active"))))</f>
        <v/>
      </c>
    </row>
    <row r="822">
      <c r="A822" s="2">
        <f>IF(Data!A822="","",IF(ISNUMBER(Data!C822),Data!C822,IFERROR(DATEVALUE(Data!C822),IFERROR(DATEVALUE(SUBSTITUTE(Data!C822,"-"," ")),""))))</f>
        <v/>
      </c>
      <c r="B822" s="2">
        <f>IF(Data!A822="","",IF(ISNUMBER(Data!D822),Data!D822,IFERROR(DATEVALUE(Data!D822),IFERROR(DATEVALUE(SUBSTITUTE(Data!D822,"-"," ")),""))))</f>
        <v/>
      </c>
      <c r="C822">
        <f>IF(Data!A822="","",IF(AND(A822="",B822=""),"Undated",IF(AND(A822&lt;&gt;"",TODAY()&lt;A822),"Upcoming",IF(AND(B822&lt;&gt;"",TODAY()&gt;B822),"Completed","Active"))))</f>
        <v/>
      </c>
    </row>
    <row r="823">
      <c r="A823" s="2">
        <f>IF(Data!A823="","",IF(ISNUMBER(Data!C823),Data!C823,IFERROR(DATEVALUE(Data!C823),IFERROR(DATEVALUE(SUBSTITUTE(Data!C823,"-"," ")),""))))</f>
        <v/>
      </c>
      <c r="B823" s="2">
        <f>IF(Data!A823="","",IF(ISNUMBER(Data!D823),Data!D823,IFERROR(DATEVALUE(Data!D823),IFERROR(DATEVALUE(SUBSTITUTE(Data!D823,"-"," ")),""))))</f>
        <v/>
      </c>
      <c r="C823">
        <f>IF(Data!A823="","",IF(AND(A823="",B823=""),"Undated",IF(AND(A823&lt;&gt;"",TODAY()&lt;A823),"Upcoming",IF(AND(B823&lt;&gt;"",TODAY()&gt;B823),"Completed","Active"))))</f>
        <v/>
      </c>
    </row>
    <row r="824">
      <c r="A824" s="2">
        <f>IF(Data!A824="","",IF(ISNUMBER(Data!C824),Data!C824,IFERROR(DATEVALUE(Data!C824),IFERROR(DATEVALUE(SUBSTITUTE(Data!C824,"-"," ")),""))))</f>
        <v/>
      </c>
      <c r="B824" s="2">
        <f>IF(Data!A824="","",IF(ISNUMBER(Data!D824),Data!D824,IFERROR(DATEVALUE(Data!D824),IFERROR(DATEVALUE(SUBSTITUTE(Data!D824,"-"," ")),""))))</f>
        <v/>
      </c>
      <c r="C824">
        <f>IF(Data!A824="","",IF(AND(A824="",B824=""),"Undated",IF(AND(A824&lt;&gt;"",TODAY()&lt;A824),"Upcoming",IF(AND(B824&lt;&gt;"",TODAY()&gt;B824),"Completed","Active"))))</f>
        <v/>
      </c>
    </row>
    <row r="825">
      <c r="A825" s="2">
        <f>IF(Data!A825="","",IF(ISNUMBER(Data!C825),Data!C825,IFERROR(DATEVALUE(Data!C825),IFERROR(DATEVALUE(SUBSTITUTE(Data!C825,"-"," ")),""))))</f>
        <v/>
      </c>
      <c r="B825" s="2">
        <f>IF(Data!A825="","",IF(ISNUMBER(Data!D825),Data!D825,IFERROR(DATEVALUE(Data!D825),IFERROR(DATEVALUE(SUBSTITUTE(Data!D825,"-"," ")),""))))</f>
        <v/>
      </c>
      <c r="C825">
        <f>IF(Data!A825="","",IF(AND(A825="",B825=""),"Undated",IF(AND(A825&lt;&gt;"",TODAY()&lt;A825),"Upcoming",IF(AND(B825&lt;&gt;"",TODAY()&gt;B825),"Completed","Active"))))</f>
        <v/>
      </c>
    </row>
    <row r="826">
      <c r="A826" s="2">
        <f>IF(Data!A826="","",IF(ISNUMBER(Data!C826),Data!C826,IFERROR(DATEVALUE(Data!C826),IFERROR(DATEVALUE(SUBSTITUTE(Data!C826,"-"," ")),""))))</f>
        <v/>
      </c>
      <c r="B826" s="2">
        <f>IF(Data!A826="","",IF(ISNUMBER(Data!D826),Data!D826,IFERROR(DATEVALUE(Data!D826),IFERROR(DATEVALUE(SUBSTITUTE(Data!D826,"-"," ")),""))))</f>
        <v/>
      </c>
      <c r="C826">
        <f>IF(Data!A826="","",IF(AND(A826="",B826=""),"Undated",IF(AND(A826&lt;&gt;"",TODAY()&lt;A826),"Upcoming",IF(AND(B826&lt;&gt;"",TODAY()&gt;B826),"Completed","Active"))))</f>
        <v/>
      </c>
    </row>
    <row r="827">
      <c r="A827" s="2">
        <f>IF(Data!A827="","",IF(ISNUMBER(Data!C827),Data!C827,IFERROR(DATEVALUE(Data!C827),IFERROR(DATEVALUE(SUBSTITUTE(Data!C827,"-"," ")),""))))</f>
        <v/>
      </c>
      <c r="B827" s="2">
        <f>IF(Data!A827="","",IF(ISNUMBER(Data!D827),Data!D827,IFERROR(DATEVALUE(Data!D827),IFERROR(DATEVALUE(SUBSTITUTE(Data!D827,"-"," ")),""))))</f>
        <v/>
      </c>
      <c r="C827">
        <f>IF(Data!A827="","",IF(AND(A827="",B827=""),"Undated",IF(AND(A827&lt;&gt;"",TODAY()&lt;A827),"Upcoming",IF(AND(B827&lt;&gt;"",TODAY()&gt;B827),"Completed","Active"))))</f>
        <v/>
      </c>
    </row>
    <row r="828">
      <c r="A828" s="2">
        <f>IF(Data!A828="","",IF(ISNUMBER(Data!C828),Data!C828,IFERROR(DATEVALUE(Data!C828),IFERROR(DATEVALUE(SUBSTITUTE(Data!C828,"-"," ")),""))))</f>
        <v/>
      </c>
      <c r="B828" s="2">
        <f>IF(Data!A828="","",IF(ISNUMBER(Data!D828),Data!D828,IFERROR(DATEVALUE(Data!D828),IFERROR(DATEVALUE(SUBSTITUTE(Data!D828,"-"," ")),""))))</f>
        <v/>
      </c>
      <c r="C828">
        <f>IF(Data!A828="","",IF(AND(A828="",B828=""),"Undated",IF(AND(A828&lt;&gt;"",TODAY()&lt;A828),"Upcoming",IF(AND(B828&lt;&gt;"",TODAY()&gt;B828),"Completed","Active"))))</f>
        <v/>
      </c>
    </row>
    <row r="829">
      <c r="A829" s="2">
        <f>IF(Data!A829="","",IF(ISNUMBER(Data!C829),Data!C829,IFERROR(DATEVALUE(Data!C829),IFERROR(DATEVALUE(SUBSTITUTE(Data!C829,"-"," ")),""))))</f>
        <v/>
      </c>
      <c r="B829" s="2">
        <f>IF(Data!A829="","",IF(ISNUMBER(Data!D829),Data!D829,IFERROR(DATEVALUE(Data!D829),IFERROR(DATEVALUE(SUBSTITUTE(Data!D829,"-"," ")),""))))</f>
        <v/>
      </c>
      <c r="C829">
        <f>IF(Data!A829="","",IF(AND(A829="",B829=""),"Undated",IF(AND(A829&lt;&gt;"",TODAY()&lt;A829),"Upcoming",IF(AND(B829&lt;&gt;"",TODAY()&gt;B829),"Completed","Active"))))</f>
        <v/>
      </c>
    </row>
    <row r="830">
      <c r="A830" s="2">
        <f>IF(Data!A830="","",IF(ISNUMBER(Data!C830),Data!C830,IFERROR(DATEVALUE(Data!C830),IFERROR(DATEVALUE(SUBSTITUTE(Data!C830,"-"," ")),""))))</f>
        <v/>
      </c>
      <c r="B830" s="2">
        <f>IF(Data!A830="","",IF(ISNUMBER(Data!D830),Data!D830,IFERROR(DATEVALUE(Data!D830),IFERROR(DATEVALUE(SUBSTITUTE(Data!D830,"-"," ")),""))))</f>
        <v/>
      </c>
      <c r="C830">
        <f>IF(Data!A830="","",IF(AND(A830="",B830=""),"Undated",IF(AND(A830&lt;&gt;"",TODAY()&lt;A830),"Upcoming",IF(AND(B830&lt;&gt;"",TODAY()&gt;B830),"Completed","Active"))))</f>
        <v/>
      </c>
    </row>
    <row r="831">
      <c r="A831" s="2">
        <f>IF(Data!A831="","",IF(ISNUMBER(Data!C831),Data!C831,IFERROR(DATEVALUE(Data!C831),IFERROR(DATEVALUE(SUBSTITUTE(Data!C831,"-"," ")),""))))</f>
        <v/>
      </c>
      <c r="B831" s="2">
        <f>IF(Data!A831="","",IF(ISNUMBER(Data!D831),Data!D831,IFERROR(DATEVALUE(Data!D831),IFERROR(DATEVALUE(SUBSTITUTE(Data!D831,"-"," ")),""))))</f>
        <v/>
      </c>
      <c r="C831">
        <f>IF(Data!A831="","",IF(AND(A831="",B831=""),"Undated",IF(AND(A831&lt;&gt;"",TODAY()&lt;A831),"Upcoming",IF(AND(B831&lt;&gt;"",TODAY()&gt;B831),"Completed","Active"))))</f>
        <v/>
      </c>
    </row>
    <row r="832">
      <c r="A832" s="2">
        <f>IF(Data!A832="","",IF(ISNUMBER(Data!C832),Data!C832,IFERROR(DATEVALUE(Data!C832),IFERROR(DATEVALUE(SUBSTITUTE(Data!C832,"-"," ")),""))))</f>
        <v/>
      </c>
      <c r="B832" s="2">
        <f>IF(Data!A832="","",IF(ISNUMBER(Data!D832),Data!D832,IFERROR(DATEVALUE(Data!D832),IFERROR(DATEVALUE(SUBSTITUTE(Data!D832,"-"," ")),""))))</f>
        <v/>
      </c>
      <c r="C832">
        <f>IF(Data!A832="","",IF(AND(A832="",B832=""),"Undated",IF(AND(A832&lt;&gt;"",TODAY()&lt;A832),"Upcoming",IF(AND(B832&lt;&gt;"",TODAY()&gt;B832),"Completed","Active"))))</f>
        <v/>
      </c>
    </row>
    <row r="833">
      <c r="A833" s="2">
        <f>IF(Data!A833="","",IF(ISNUMBER(Data!C833),Data!C833,IFERROR(DATEVALUE(Data!C833),IFERROR(DATEVALUE(SUBSTITUTE(Data!C833,"-"," ")),""))))</f>
        <v/>
      </c>
      <c r="B833" s="2">
        <f>IF(Data!A833="","",IF(ISNUMBER(Data!D833),Data!D833,IFERROR(DATEVALUE(Data!D833),IFERROR(DATEVALUE(SUBSTITUTE(Data!D833,"-"," ")),""))))</f>
        <v/>
      </c>
      <c r="C833">
        <f>IF(Data!A833="","",IF(AND(A833="",B833=""),"Undated",IF(AND(A833&lt;&gt;"",TODAY()&lt;A833),"Upcoming",IF(AND(B833&lt;&gt;"",TODAY()&gt;B833),"Completed","Active"))))</f>
        <v/>
      </c>
    </row>
    <row r="834">
      <c r="A834" s="2">
        <f>IF(Data!A834="","",IF(ISNUMBER(Data!C834),Data!C834,IFERROR(DATEVALUE(Data!C834),IFERROR(DATEVALUE(SUBSTITUTE(Data!C834,"-"," ")),""))))</f>
        <v/>
      </c>
      <c r="B834" s="2">
        <f>IF(Data!A834="","",IF(ISNUMBER(Data!D834),Data!D834,IFERROR(DATEVALUE(Data!D834),IFERROR(DATEVALUE(SUBSTITUTE(Data!D834,"-"," ")),""))))</f>
        <v/>
      </c>
      <c r="C834">
        <f>IF(Data!A834="","",IF(AND(A834="",B834=""),"Undated",IF(AND(A834&lt;&gt;"",TODAY()&lt;A834),"Upcoming",IF(AND(B834&lt;&gt;"",TODAY()&gt;B834),"Completed","Active"))))</f>
        <v/>
      </c>
    </row>
    <row r="835">
      <c r="A835" s="2">
        <f>IF(Data!A835="","",IF(ISNUMBER(Data!C835),Data!C835,IFERROR(DATEVALUE(Data!C835),IFERROR(DATEVALUE(SUBSTITUTE(Data!C835,"-"," ")),""))))</f>
        <v/>
      </c>
      <c r="B835" s="2">
        <f>IF(Data!A835="","",IF(ISNUMBER(Data!D835),Data!D835,IFERROR(DATEVALUE(Data!D835),IFERROR(DATEVALUE(SUBSTITUTE(Data!D835,"-"," ")),""))))</f>
        <v/>
      </c>
      <c r="C835">
        <f>IF(Data!A835="","",IF(AND(A835="",B835=""),"Undated",IF(AND(A835&lt;&gt;"",TODAY()&lt;A835),"Upcoming",IF(AND(B835&lt;&gt;"",TODAY()&gt;B835),"Completed","Active"))))</f>
        <v/>
      </c>
    </row>
    <row r="836">
      <c r="A836" s="2">
        <f>IF(Data!A836="","",IF(ISNUMBER(Data!C836),Data!C836,IFERROR(DATEVALUE(Data!C836),IFERROR(DATEVALUE(SUBSTITUTE(Data!C836,"-"," ")),""))))</f>
        <v/>
      </c>
      <c r="B836" s="2">
        <f>IF(Data!A836="","",IF(ISNUMBER(Data!D836),Data!D836,IFERROR(DATEVALUE(Data!D836),IFERROR(DATEVALUE(SUBSTITUTE(Data!D836,"-"," ")),""))))</f>
        <v/>
      </c>
      <c r="C836">
        <f>IF(Data!A836="","",IF(AND(A836="",B836=""),"Undated",IF(AND(A836&lt;&gt;"",TODAY()&lt;A836),"Upcoming",IF(AND(B836&lt;&gt;"",TODAY()&gt;B836),"Completed","Active"))))</f>
        <v/>
      </c>
    </row>
    <row r="837">
      <c r="A837" s="2">
        <f>IF(Data!A837="","",IF(ISNUMBER(Data!C837),Data!C837,IFERROR(DATEVALUE(Data!C837),IFERROR(DATEVALUE(SUBSTITUTE(Data!C837,"-"," ")),""))))</f>
        <v/>
      </c>
      <c r="B837" s="2">
        <f>IF(Data!A837="","",IF(ISNUMBER(Data!D837),Data!D837,IFERROR(DATEVALUE(Data!D837),IFERROR(DATEVALUE(SUBSTITUTE(Data!D837,"-"," ")),""))))</f>
        <v/>
      </c>
      <c r="C837">
        <f>IF(Data!A837="","",IF(AND(A837="",B837=""),"Undated",IF(AND(A837&lt;&gt;"",TODAY()&lt;A837),"Upcoming",IF(AND(B837&lt;&gt;"",TODAY()&gt;B837),"Completed","Active"))))</f>
        <v/>
      </c>
    </row>
    <row r="838">
      <c r="A838" s="2">
        <f>IF(Data!A838="","",IF(ISNUMBER(Data!C838),Data!C838,IFERROR(DATEVALUE(Data!C838),IFERROR(DATEVALUE(SUBSTITUTE(Data!C838,"-"," ")),""))))</f>
        <v/>
      </c>
      <c r="B838" s="2">
        <f>IF(Data!A838="","",IF(ISNUMBER(Data!D838),Data!D838,IFERROR(DATEVALUE(Data!D838),IFERROR(DATEVALUE(SUBSTITUTE(Data!D838,"-"," ")),""))))</f>
        <v/>
      </c>
      <c r="C838">
        <f>IF(Data!A838="","",IF(AND(A838="",B838=""),"Undated",IF(AND(A838&lt;&gt;"",TODAY()&lt;A838),"Upcoming",IF(AND(B838&lt;&gt;"",TODAY()&gt;B838),"Completed","Active"))))</f>
        <v/>
      </c>
    </row>
    <row r="839">
      <c r="A839" s="2">
        <f>IF(Data!A839="","",IF(ISNUMBER(Data!C839),Data!C839,IFERROR(DATEVALUE(Data!C839),IFERROR(DATEVALUE(SUBSTITUTE(Data!C839,"-"," ")),""))))</f>
        <v/>
      </c>
      <c r="B839" s="2">
        <f>IF(Data!A839="","",IF(ISNUMBER(Data!D839),Data!D839,IFERROR(DATEVALUE(Data!D839),IFERROR(DATEVALUE(SUBSTITUTE(Data!D839,"-"," ")),""))))</f>
        <v/>
      </c>
      <c r="C839">
        <f>IF(Data!A839="","",IF(AND(A839="",B839=""),"Undated",IF(AND(A839&lt;&gt;"",TODAY()&lt;A839),"Upcoming",IF(AND(B839&lt;&gt;"",TODAY()&gt;B839),"Completed","Active"))))</f>
        <v/>
      </c>
    </row>
    <row r="840">
      <c r="A840" s="2">
        <f>IF(Data!A840="","",IF(ISNUMBER(Data!C840),Data!C840,IFERROR(DATEVALUE(Data!C840),IFERROR(DATEVALUE(SUBSTITUTE(Data!C840,"-"," ")),""))))</f>
        <v/>
      </c>
      <c r="B840" s="2">
        <f>IF(Data!A840="","",IF(ISNUMBER(Data!D840),Data!D840,IFERROR(DATEVALUE(Data!D840),IFERROR(DATEVALUE(SUBSTITUTE(Data!D840,"-"," ")),""))))</f>
        <v/>
      </c>
      <c r="C840">
        <f>IF(Data!A840="","",IF(AND(A840="",B840=""),"Undated",IF(AND(A840&lt;&gt;"",TODAY()&lt;A840),"Upcoming",IF(AND(B840&lt;&gt;"",TODAY()&gt;B840),"Completed","Active"))))</f>
        <v/>
      </c>
    </row>
    <row r="841">
      <c r="A841" s="2">
        <f>IF(Data!A841="","",IF(ISNUMBER(Data!C841),Data!C841,IFERROR(DATEVALUE(Data!C841),IFERROR(DATEVALUE(SUBSTITUTE(Data!C841,"-"," ")),""))))</f>
        <v/>
      </c>
      <c r="B841" s="2">
        <f>IF(Data!A841="","",IF(ISNUMBER(Data!D841),Data!D841,IFERROR(DATEVALUE(Data!D841),IFERROR(DATEVALUE(SUBSTITUTE(Data!D841,"-"," ")),""))))</f>
        <v/>
      </c>
      <c r="C841">
        <f>IF(Data!A841="","",IF(AND(A841="",B841=""),"Undated",IF(AND(A841&lt;&gt;"",TODAY()&lt;A841),"Upcoming",IF(AND(B841&lt;&gt;"",TODAY()&gt;B841),"Completed","Active"))))</f>
        <v/>
      </c>
    </row>
    <row r="842">
      <c r="A842" s="2">
        <f>IF(Data!A842="","",IF(ISNUMBER(Data!C842),Data!C842,IFERROR(DATEVALUE(Data!C842),IFERROR(DATEVALUE(SUBSTITUTE(Data!C842,"-"," ")),""))))</f>
        <v/>
      </c>
      <c r="B842" s="2">
        <f>IF(Data!A842="","",IF(ISNUMBER(Data!D842),Data!D842,IFERROR(DATEVALUE(Data!D842),IFERROR(DATEVALUE(SUBSTITUTE(Data!D842,"-"," ")),""))))</f>
        <v/>
      </c>
      <c r="C842">
        <f>IF(Data!A842="","",IF(AND(A842="",B842=""),"Undated",IF(AND(A842&lt;&gt;"",TODAY()&lt;A842),"Upcoming",IF(AND(B842&lt;&gt;"",TODAY()&gt;B842),"Completed","Active"))))</f>
        <v/>
      </c>
    </row>
    <row r="843">
      <c r="A843" s="2">
        <f>IF(Data!A843="","",IF(ISNUMBER(Data!C843),Data!C843,IFERROR(DATEVALUE(Data!C843),IFERROR(DATEVALUE(SUBSTITUTE(Data!C843,"-"," ")),""))))</f>
        <v/>
      </c>
      <c r="B843" s="2">
        <f>IF(Data!A843="","",IF(ISNUMBER(Data!D843),Data!D843,IFERROR(DATEVALUE(Data!D843),IFERROR(DATEVALUE(SUBSTITUTE(Data!D843,"-"," ")),""))))</f>
        <v/>
      </c>
      <c r="C843">
        <f>IF(Data!A843="","",IF(AND(A843="",B843=""),"Undated",IF(AND(A843&lt;&gt;"",TODAY()&lt;A843),"Upcoming",IF(AND(B843&lt;&gt;"",TODAY()&gt;B843),"Completed","Active"))))</f>
        <v/>
      </c>
    </row>
    <row r="844">
      <c r="A844" s="2">
        <f>IF(Data!A844="","",IF(ISNUMBER(Data!C844),Data!C844,IFERROR(DATEVALUE(Data!C844),IFERROR(DATEVALUE(SUBSTITUTE(Data!C844,"-"," ")),""))))</f>
        <v/>
      </c>
      <c r="B844" s="2">
        <f>IF(Data!A844="","",IF(ISNUMBER(Data!D844),Data!D844,IFERROR(DATEVALUE(Data!D844),IFERROR(DATEVALUE(SUBSTITUTE(Data!D844,"-"," ")),""))))</f>
        <v/>
      </c>
      <c r="C844">
        <f>IF(Data!A844="","",IF(AND(A844="",B844=""),"Undated",IF(AND(A844&lt;&gt;"",TODAY()&lt;A844),"Upcoming",IF(AND(B844&lt;&gt;"",TODAY()&gt;B844),"Completed","Active"))))</f>
        <v/>
      </c>
    </row>
    <row r="845">
      <c r="A845" s="2">
        <f>IF(Data!A845="","",IF(ISNUMBER(Data!C845),Data!C845,IFERROR(DATEVALUE(Data!C845),IFERROR(DATEVALUE(SUBSTITUTE(Data!C845,"-"," ")),""))))</f>
        <v/>
      </c>
      <c r="B845" s="2">
        <f>IF(Data!A845="","",IF(ISNUMBER(Data!D845),Data!D845,IFERROR(DATEVALUE(Data!D845),IFERROR(DATEVALUE(SUBSTITUTE(Data!D845,"-"," ")),""))))</f>
        <v/>
      </c>
      <c r="C845">
        <f>IF(Data!A845="","",IF(AND(A845="",B845=""),"Undated",IF(AND(A845&lt;&gt;"",TODAY()&lt;A845),"Upcoming",IF(AND(B845&lt;&gt;"",TODAY()&gt;B845),"Completed","Active"))))</f>
        <v/>
      </c>
    </row>
    <row r="846">
      <c r="A846" s="2">
        <f>IF(Data!A846="","",IF(ISNUMBER(Data!C846),Data!C846,IFERROR(DATEVALUE(Data!C846),IFERROR(DATEVALUE(SUBSTITUTE(Data!C846,"-"," ")),""))))</f>
        <v/>
      </c>
      <c r="B846" s="2">
        <f>IF(Data!A846="","",IF(ISNUMBER(Data!D846),Data!D846,IFERROR(DATEVALUE(Data!D846),IFERROR(DATEVALUE(SUBSTITUTE(Data!D846,"-"," ")),""))))</f>
        <v/>
      </c>
      <c r="C846">
        <f>IF(Data!A846="","",IF(AND(A846="",B846=""),"Undated",IF(AND(A846&lt;&gt;"",TODAY()&lt;A846),"Upcoming",IF(AND(B846&lt;&gt;"",TODAY()&gt;B846),"Completed","Active"))))</f>
        <v/>
      </c>
    </row>
    <row r="847">
      <c r="A847" s="2">
        <f>IF(Data!A847="","",IF(ISNUMBER(Data!C847),Data!C847,IFERROR(DATEVALUE(Data!C847),IFERROR(DATEVALUE(SUBSTITUTE(Data!C847,"-"," ")),""))))</f>
        <v/>
      </c>
      <c r="B847" s="2">
        <f>IF(Data!A847="","",IF(ISNUMBER(Data!D847),Data!D847,IFERROR(DATEVALUE(Data!D847),IFERROR(DATEVALUE(SUBSTITUTE(Data!D847,"-"," ")),""))))</f>
        <v/>
      </c>
      <c r="C847">
        <f>IF(Data!A847="","",IF(AND(A847="",B847=""),"Undated",IF(AND(A847&lt;&gt;"",TODAY()&lt;A847),"Upcoming",IF(AND(B847&lt;&gt;"",TODAY()&gt;B847),"Completed","Active"))))</f>
        <v/>
      </c>
    </row>
    <row r="848">
      <c r="A848" s="2">
        <f>IF(Data!A848="","",IF(ISNUMBER(Data!C848),Data!C848,IFERROR(DATEVALUE(Data!C848),IFERROR(DATEVALUE(SUBSTITUTE(Data!C848,"-"," ")),""))))</f>
        <v/>
      </c>
      <c r="B848" s="2">
        <f>IF(Data!A848="","",IF(ISNUMBER(Data!D848),Data!D848,IFERROR(DATEVALUE(Data!D848),IFERROR(DATEVALUE(SUBSTITUTE(Data!D848,"-"," ")),""))))</f>
        <v/>
      </c>
      <c r="C848">
        <f>IF(Data!A848="","",IF(AND(A848="",B848=""),"Undated",IF(AND(A848&lt;&gt;"",TODAY()&lt;A848),"Upcoming",IF(AND(B848&lt;&gt;"",TODAY()&gt;B848),"Completed","Active"))))</f>
        <v/>
      </c>
    </row>
    <row r="849">
      <c r="A849" s="2">
        <f>IF(Data!A849="","",IF(ISNUMBER(Data!C849),Data!C849,IFERROR(DATEVALUE(Data!C849),IFERROR(DATEVALUE(SUBSTITUTE(Data!C849,"-"," ")),""))))</f>
        <v/>
      </c>
      <c r="B849" s="2">
        <f>IF(Data!A849="","",IF(ISNUMBER(Data!D849),Data!D849,IFERROR(DATEVALUE(Data!D849),IFERROR(DATEVALUE(SUBSTITUTE(Data!D849,"-"," ")),""))))</f>
        <v/>
      </c>
      <c r="C849">
        <f>IF(Data!A849="","",IF(AND(A849="",B849=""),"Undated",IF(AND(A849&lt;&gt;"",TODAY()&lt;A849),"Upcoming",IF(AND(B849&lt;&gt;"",TODAY()&gt;B849),"Completed","Active"))))</f>
        <v/>
      </c>
    </row>
    <row r="850">
      <c r="A850" s="2">
        <f>IF(Data!A850="","",IF(ISNUMBER(Data!C850),Data!C850,IFERROR(DATEVALUE(Data!C850),IFERROR(DATEVALUE(SUBSTITUTE(Data!C850,"-"," ")),""))))</f>
        <v/>
      </c>
      <c r="B850" s="2">
        <f>IF(Data!A850="","",IF(ISNUMBER(Data!D850),Data!D850,IFERROR(DATEVALUE(Data!D850),IFERROR(DATEVALUE(SUBSTITUTE(Data!D850,"-"," ")),""))))</f>
        <v/>
      </c>
      <c r="C850">
        <f>IF(Data!A850="","",IF(AND(A850="",B850=""),"Undated",IF(AND(A850&lt;&gt;"",TODAY()&lt;A850),"Upcoming",IF(AND(B850&lt;&gt;"",TODAY()&gt;B850),"Completed","Active"))))</f>
        <v/>
      </c>
    </row>
    <row r="851">
      <c r="A851" s="2">
        <f>IF(Data!A851="","",IF(ISNUMBER(Data!C851),Data!C851,IFERROR(DATEVALUE(Data!C851),IFERROR(DATEVALUE(SUBSTITUTE(Data!C851,"-"," ")),""))))</f>
        <v/>
      </c>
      <c r="B851" s="2">
        <f>IF(Data!A851="","",IF(ISNUMBER(Data!D851),Data!D851,IFERROR(DATEVALUE(Data!D851),IFERROR(DATEVALUE(SUBSTITUTE(Data!D851,"-"," ")),""))))</f>
        <v/>
      </c>
      <c r="C851">
        <f>IF(Data!A851="","",IF(AND(A851="",B851=""),"Undated",IF(AND(A851&lt;&gt;"",TODAY()&lt;A851),"Upcoming",IF(AND(B851&lt;&gt;"",TODAY()&gt;B851),"Completed","Active"))))</f>
        <v/>
      </c>
    </row>
    <row r="852">
      <c r="A852" s="2">
        <f>IF(Data!A852="","",IF(ISNUMBER(Data!C852),Data!C852,IFERROR(DATEVALUE(Data!C852),IFERROR(DATEVALUE(SUBSTITUTE(Data!C852,"-"," ")),""))))</f>
        <v/>
      </c>
      <c r="B852" s="2">
        <f>IF(Data!A852="","",IF(ISNUMBER(Data!D852),Data!D852,IFERROR(DATEVALUE(Data!D852),IFERROR(DATEVALUE(SUBSTITUTE(Data!D852,"-"," ")),""))))</f>
        <v/>
      </c>
      <c r="C852">
        <f>IF(Data!A852="","",IF(AND(A852="",B852=""),"Undated",IF(AND(A852&lt;&gt;"",TODAY()&lt;A852),"Upcoming",IF(AND(B852&lt;&gt;"",TODAY()&gt;B852),"Completed","Active"))))</f>
        <v/>
      </c>
    </row>
    <row r="853">
      <c r="A853" s="2">
        <f>IF(Data!A853="","",IF(ISNUMBER(Data!C853),Data!C853,IFERROR(DATEVALUE(Data!C853),IFERROR(DATEVALUE(SUBSTITUTE(Data!C853,"-"," ")),""))))</f>
        <v/>
      </c>
      <c r="B853" s="2">
        <f>IF(Data!A853="","",IF(ISNUMBER(Data!D853),Data!D853,IFERROR(DATEVALUE(Data!D853),IFERROR(DATEVALUE(SUBSTITUTE(Data!D853,"-"," ")),""))))</f>
        <v/>
      </c>
      <c r="C853">
        <f>IF(Data!A853="","",IF(AND(A853="",B853=""),"Undated",IF(AND(A853&lt;&gt;"",TODAY()&lt;A853),"Upcoming",IF(AND(B853&lt;&gt;"",TODAY()&gt;B853),"Completed","Active"))))</f>
        <v/>
      </c>
    </row>
    <row r="854">
      <c r="A854" s="2">
        <f>IF(Data!A854="","",IF(ISNUMBER(Data!C854),Data!C854,IFERROR(DATEVALUE(Data!C854),IFERROR(DATEVALUE(SUBSTITUTE(Data!C854,"-"," ")),""))))</f>
        <v/>
      </c>
      <c r="B854" s="2">
        <f>IF(Data!A854="","",IF(ISNUMBER(Data!D854),Data!D854,IFERROR(DATEVALUE(Data!D854),IFERROR(DATEVALUE(SUBSTITUTE(Data!D854,"-"," ")),""))))</f>
        <v/>
      </c>
      <c r="C854">
        <f>IF(Data!A854="","",IF(AND(A854="",B854=""),"Undated",IF(AND(A854&lt;&gt;"",TODAY()&lt;A854),"Upcoming",IF(AND(B854&lt;&gt;"",TODAY()&gt;B854),"Completed","Active"))))</f>
        <v/>
      </c>
    </row>
    <row r="855">
      <c r="A855" s="2">
        <f>IF(Data!A855="","",IF(ISNUMBER(Data!C855),Data!C855,IFERROR(DATEVALUE(Data!C855),IFERROR(DATEVALUE(SUBSTITUTE(Data!C855,"-"," ")),""))))</f>
        <v/>
      </c>
      <c r="B855" s="2">
        <f>IF(Data!A855="","",IF(ISNUMBER(Data!D855),Data!D855,IFERROR(DATEVALUE(Data!D855),IFERROR(DATEVALUE(SUBSTITUTE(Data!D855,"-"," ")),""))))</f>
        <v/>
      </c>
      <c r="C855">
        <f>IF(Data!A855="","",IF(AND(A855="",B855=""),"Undated",IF(AND(A855&lt;&gt;"",TODAY()&lt;A855),"Upcoming",IF(AND(B855&lt;&gt;"",TODAY()&gt;B855),"Completed","Active"))))</f>
        <v/>
      </c>
    </row>
    <row r="856">
      <c r="A856" s="2">
        <f>IF(Data!A856="","",IF(ISNUMBER(Data!C856),Data!C856,IFERROR(DATEVALUE(Data!C856),IFERROR(DATEVALUE(SUBSTITUTE(Data!C856,"-"," ")),""))))</f>
        <v/>
      </c>
      <c r="B856" s="2">
        <f>IF(Data!A856="","",IF(ISNUMBER(Data!D856),Data!D856,IFERROR(DATEVALUE(Data!D856),IFERROR(DATEVALUE(SUBSTITUTE(Data!D856,"-"," ")),""))))</f>
        <v/>
      </c>
      <c r="C856">
        <f>IF(Data!A856="","",IF(AND(A856="",B856=""),"Undated",IF(AND(A856&lt;&gt;"",TODAY()&lt;A856),"Upcoming",IF(AND(B856&lt;&gt;"",TODAY()&gt;B856),"Completed","Active"))))</f>
        <v/>
      </c>
    </row>
    <row r="857">
      <c r="A857" s="2">
        <f>IF(Data!A857="","",IF(ISNUMBER(Data!C857),Data!C857,IFERROR(DATEVALUE(Data!C857),IFERROR(DATEVALUE(SUBSTITUTE(Data!C857,"-"," ")),""))))</f>
        <v/>
      </c>
      <c r="B857" s="2">
        <f>IF(Data!A857="","",IF(ISNUMBER(Data!D857),Data!D857,IFERROR(DATEVALUE(Data!D857),IFERROR(DATEVALUE(SUBSTITUTE(Data!D857,"-"," ")),""))))</f>
        <v/>
      </c>
      <c r="C857">
        <f>IF(Data!A857="","",IF(AND(A857="",B857=""),"Undated",IF(AND(A857&lt;&gt;"",TODAY()&lt;A857),"Upcoming",IF(AND(B857&lt;&gt;"",TODAY()&gt;B857),"Completed","Active"))))</f>
        <v/>
      </c>
    </row>
    <row r="858">
      <c r="A858" s="2">
        <f>IF(Data!A858="","",IF(ISNUMBER(Data!C858),Data!C858,IFERROR(DATEVALUE(Data!C858),IFERROR(DATEVALUE(SUBSTITUTE(Data!C858,"-"," ")),""))))</f>
        <v/>
      </c>
      <c r="B858" s="2">
        <f>IF(Data!A858="","",IF(ISNUMBER(Data!D858),Data!D858,IFERROR(DATEVALUE(Data!D858),IFERROR(DATEVALUE(SUBSTITUTE(Data!D858,"-"," ")),""))))</f>
        <v/>
      </c>
      <c r="C858">
        <f>IF(Data!A858="","",IF(AND(A858="",B858=""),"Undated",IF(AND(A858&lt;&gt;"",TODAY()&lt;A858),"Upcoming",IF(AND(B858&lt;&gt;"",TODAY()&gt;B858),"Completed","Active"))))</f>
        <v/>
      </c>
    </row>
    <row r="859">
      <c r="A859" s="2">
        <f>IF(Data!A859="","",IF(ISNUMBER(Data!C859),Data!C859,IFERROR(DATEVALUE(Data!C859),IFERROR(DATEVALUE(SUBSTITUTE(Data!C859,"-"," ")),""))))</f>
        <v/>
      </c>
      <c r="B859" s="2">
        <f>IF(Data!A859="","",IF(ISNUMBER(Data!D859),Data!D859,IFERROR(DATEVALUE(Data!D859),IFERROR(DATEVALUE(SUBSTITUTE(Data!D859,"-"," ")),""))))</f>
        <v/>
      </c>
      <c r="C859">
        <f>IF(Data!A859="","",IF(AND(A859="",B859=""),"Undated",IF(AND(A859&lt;&gt;"",TODAY()&lt;A859),"Upcoming",IF(AND(B859&lt;&gt;"",TODAY()&gt;B859),"Completed","Active"))))</f>
        <v/>
      </c>
    </row>
    <row r="860">
      <c r="A860" s="2">
        <f>IF(Data!A860="","",IF(ISNUMBER(Data!C860),Data!C860,IFERROR(DATEVALUE(Data!C860),IFERROR(DATEVALUE(SUBSTITUTE(Data!C860,"-"," ")),""))))</f>
        <v/>
      </c>
      <c r="B860" s="2">
        <f>IF(Data!A860="","",IF(ISNUMBER(Data!D860),Data!D860,IFERROR(DATEVALUE(Data!D860),IFERROR(DATEVALUE(SUBSTITUTE(Data!D860,"-"," ")),""))))</f>
        <v/>
      </c>
      <c r="C860">
        <f>IF(Data!A860="","",IF(AND(A860="",B860=""),"Undated",IF(AND(A860&lt;&gt;"",TODAY()&lt;A860),"Upcoming",IF(AND(B860&lt;&gt;"",TODAY()&gt;B860),"Completed","Active"))))</f>
        <v/>
      </c>
    </row>
    <row r="861">
      <c r="A861" s="2">
        <f>IF(Data!A861="","",IF(ISNUMBER(Data!C861),Data!C861,IFERROR(DATEVALUE(Data!C861),IFERROR(DATEVALUE(SUBSTITUTE(Data!C861,"-"," ")),""))))</f>
        <v/>
      </c>
      <c r="B861" s="2">
        <f>IF(Data!A861="","",IF(ISNUMBER(Data!D861),Data!D861,IFERROR(DATEVALUE(Data!D861),IFERROR(DATEVALUE(SUBSTITUTE(Data!D861,"-"," ")),""))))</f>
        <v/>
      </c>
      <c r="C861">
        <f>IF(Data!A861="","",IF(AND(A861="",B861=""),"Undated",IF(AND(A861&lt;&gt;"",TODAY()&lt;A861),"Upcoming",IF(AND(B861&lt;&gt;"",TODAY()&gt;B861),"Completed","Active"))))</f>
        <v/>
      </c>
    </row>
    <row r="862">
      <c r="A862" s="2">
        <f>IF(Data!A862="","",IF(ISNUMBER(Data!C862),Data!C862,IFERROR(DATEVALUE(Data!C862),IFERROR(DATEVALUE(SUBSTITUTE(Data!C862,"-"," ")),""))))</f>
        <v/>
      </c>
      <c r="B862" s="2">
        <f>IF(Data!A862="","",IF(ISNUMBER(Data!D862),Data!D862,IFERROR(DATEVALUE(Data!D862),IFERROR(DATEVALUE(SUBSTITUTE(Data!D862,"-"," ")),""))))</f>
        <v/>
      </c>
      <c r="C862">
        <f>IF(Data!A862="","",IF(AND(A862="",B862=""),"Undated",IF(AND(A862&lt;&gt;"",TODAY()&lt;A862),"Upcoming",IF(AND(B862&lt;&gt;"",TODAY()&gt;B862),"Completed","Active"))))</f>
        <v/>
      </c>
    </row>
    <row r="863">
      <c r="A863" s="2">
        <f>IF(Data!A863="","",IF(ISNUMBER(Data!C863),Data!C863,IFERROR(DATEVALUE(Data!C863),IFERROR(DATEVALUE(SUBSTITUTE(Data!C863,"-"," ")),""))))</f>
        <v/>
      </c>
      <c r="B863" s="2">
        <f>IF(Data!A863="","",IF(ISNUMBER(Data!D863),Data!D863,IFERROR(DATEVALUE(Data!D863),IFERROR(DATEVALUE(SUBSTITUTE(Data!D863,"-"," ")),""))))</f>
        <v/>
      </c>
      <c r="C863">
        <f>IF(Data!A863="","",IF(AND(A863="",B863=""),"Undated",IF(AND(A863&lt;&gt;"",TODAY()&lt;A863),"Upcoming",IF(AND(B863&lt;&gt;"",TODAY()&gt;B863),"Completed","Active"))))</f>
        <v/>
      </c>
    </row>
    <row r="864">
      <c r="A864" s="2">
        <f>IF(Data!A864="","",IF(ISNUMBER(Data!C864),Data!C864,IFERROR(DATEVALUE(Data!C864),IFERROR(DATEVALUE(SUBSTITUTE(Data!C864,"-"," ")),""))))</f>
        <v/>
      </c>
      <c r="B864" s="2">
        <f>IF(Data!A864="","",IF(ISNUMBER(Data!D864),Data!D864,IFERROR(DATEVALUE(Data!D864),IFERROR(DATEVALUE(SUBSTITUTE(Data!D864,"-"," ")),""))))</f>
        <v/>
      </c>
      <c r="C864">
        <f>IF(Data!A864="","",IF(AND(A864="",B864=""),"Undated",IF(AND(A864&lt;&gt;"",TODAY()&lt;A864),"Upcoming",IF(AND(B864&lt;&gt;"",TODAY()&gt;B864),"Completed","Active"))))</f>
        <v/>
      </c>
    </row>
    <row r="865">
      <c r="A865" s="2">
        <f>IF(Data!A865="","",IF(ISNUMBER(Data!C865),Data!C865,IFERROR(DATEVALUE(Data!C865),IFERROR(DATEVALUE(SUBSTITUTE(Data!C865,"-"," ")),""))))</f>
        <v/>
      </c>
      <c r="B865" s="2">
        <f>IF(Data!A865="","",IF(ISNUMBER(Data!D865),Data!D865,IFERROR(DATEVALUE(Data!D865),IFERROR(DATEVALUE(SUBSTITUTE(Data!D865,"-"," ")),""))))</f>
        <v/>
      </c>
      <c r="C865">
        <f>IF(Data!A865="","",IF(AND(A865="",B865=""),"Undated",IF(AND(A865&lt;&gt;"",TODAY()&lt;A865),"Upcoming",IF(AND(B865&lt;&gt;"",TODAY()&gt;B865),"Completed","Active"))))</f>
        <v/>
      </c>
    </row>
    <row r="866">
      <c r="A866" s="2">
        <f>IF(Data!A866="","",IF(ISNUMBER(Data!C866),Data!C866,IFERROR(DATEVALUE(Data!C866),IFERROR(DATEVALUE(SUBSTITUTE(Data!C866,"-"," ")),""))))</f>
        <v/>
      </c>
      <c r="B866" s="2">
        <f>IF(Data!A866="","",IF(ISNUMBER(Data!D866),Data!D866,IFERROR(DATEVALUE(Data!D866),IFERROR(DATEVALUE(SUBSTITUTE(Data!D866,"-"," ")),""))))</f>
        <v/>
      </c>
      <c r="C866">
        <f>IF(Data!A866="","",IF(AND(A866="",B866=""),"Undated",IF(AND(A866&lt;&gt;"",TODAY()&lt;A866),"Upcoming",IF(AND(B866&lt;&gt;"",TODAY()&gt;B866),"Completed","Active"))))</f>
        <v/>
      </c>
    </row>
    <row r="867">
      <c r="A867" s="2">
        <f>IF(Data!A867="","",IF(ISNUMBER(Data!C867),Data!C867,IFERROR(DATEVALUE(Data!C867),IFERROR(DATEVALUE(SUBSTITUTE(Data!C867,"-"," ")),""))))</f>
        <v/>
      </c>
      <c r="B867" s="2">
        <f>IF(Data!A867="","",IF(ISNUMBER(Data!D867),Data!D867,IFERROR(DATEVALUE(Data!D867),IFERROR(DATEVALUE(SUBSTITUTE(Data!D867,"-"," ")),""))))</f>
        <v/>
      </c>
      <c r="C867">
        <f>IF(Data!A867="","",IF(AND(A867="",B867=""),"Undated",IF(AND(A867&lt;&gt;"",TODAY()&lt;A867),"Upcoming",IF(AND(B867&lt;&gt;"",TODAY()&gt;B867),"Completed","Active"))))</f>
        <v/>
      </c>
    </row>
    <row r="868">
      <c r="A868" s="2">
        <f>IF(Data!A868="","",IF(ISNUMBER(Data!C868),Data!C868,IFERROR(DATEVALUE(Data!C868),IFERROR(DATEVALUE(SUBSTITUTE(Data!C868,"-"," ")),""))))</f>
        <v/>
      </c>
      <c r="B868" s="2">
        <f>IF(Data!A868="","",IF(ISNUMBER(Data!D868),Data!D868,IFERROR(DATEVALUE(Data!D868),IFERROR(DATEVALUE(SUBSTITUTE(Data!D868,"-"," ")),""))))</f>
        <v/>
      </c>
      <c r="C868">
        <f>IF(Data!A868="","",IF(AND(A868="",B868=""),"Undated",IF(AND(A868&lt;&gt;"",TODAY()&lt;A868),"Upcoming",IF(AND(B868&lt;&gt;"",TODAY()&gt;B868),"Completed","Active"))))</f>
        <v/>
      </c>
    </row>
    <row r="869">
      <c r="A869" s="2">
        <f>IF(Data!A869="","",IF(ISNUMBER(Data!C869),Data!C869,IFERROR(DATEVALUE(Data!C869),IFERROR(DATEVALUE(SUBSTITUTE(Data!C869,"-"," ")),""))))</f>
        <v/>
      </c>
      <c r="B869" s="2">
        <f>IF(Data!A869="","",IF(ISNUMBER(Data!D869),Data!D869,IFERROR(DATEVALUE(Data!D869),IFERROR(DATEVALUE(SUBSTITUTE(Data!D869,"-"," ")),""))))</f>
        <v/>
      </c>
      <c r="C869">
        <f>IF(Data!A869="","",IF(AND(A869="",B869=""),"Undated",IF(AND(A869&lt;&gt;"",TODAY()&lt;A869),"Upcoming",IF(AND(B869&lt;&gt;"",TODAY()&gt;B869),"Completed","Active"))))</f>
        <v/>
      </c>
    </row>
    <row r="870">
      <c r="A870" s="2">
        <f>IF(Data!A870="","",IF(ISNUMBER(Data!C870),Data!C870,IFERROR(DATEVALUE(Data!C870),IFERROR(DATEVALUE(SUBSTITUTE(Data!C870,"-"," ")),""))))</f>
        <v/>
      </c>
      <c r="B870" s="2">
        <f>IF(Data!A870="","",IF(ISNUMBER(Data!D870),Data!D870,IFERROR(DATEVALUE(Data!D870),IFERROR(DATEVALUE(SUBSTITUTE(Data!D870,"-"," ")),""))))</f>
        <v/>
      </c>
      <c r="C870">
        <f>IF(Data!A870="","",IF(AND(A870="",B870=""),"Undated",IF(AND(A870&lt;&gt;"",TODAY()&lt;A870),"Upcoming",IF(AND(B870&lt;&gt;"",TODAY()&gt;B870),"Completed","Active"))))</f>
        <v/>
      </c>
    </row>
    <row r="871">
      <c r="A871" s="2">
        <f>IF(Data!A871="","",IF(ISNUMBER(Data!C871),Data!C871,IFERROR(DATEVALUE(Data!C871),IFERROR(DATEVALUE(SUBSTITUTE(Data!C871,"-"," ")),""))))</f>
        <v/>
      </c>
      <c r="B871" s="2">
        <f>IF(Data!A871="","",IF(ISNUMBER(Data!D871),Data!D871,IFERROR(DATEVALUE(Data!D871),IFERROR(DATEVALUE(SUBSTITUTE(Data!D871,"-"," ")),""))))</f>
        <v/>
      </c>
      <c r="C871">
        <f>IF(Data!A871="","",IF(AND(A871="",B871=""),"Undated",IF(AND(A871&lt;&gt;"",TODAY()&lt;A871),"Upcoming",IF(AND(B871&lt;&gt;"",TODAY()&gt;B871),"Completed","Active"))))</f>
        <v/>
      </c>
    </row>
    <row r="872">
      <c r="A872" s="2">
        <f>IF(Data!A872="","",IF(ISNUMBER(Data!C872),Data!C872,IFERROR(DATEVALUE(Data!C872),IFERROR(DATEVALUE(SUBSTITUTE(Data!C872,"-"," ")),""))))</f>
        <v/>
      </c>
      <c r="B872" s="2">
        <f>IF(Data!A872="","",IF(ISNUMBER(Data!D872),Data!D872,IFERROR(DATEVALUE(Data!D872),IFERROR(DATEVALUE(SUBSTITUTE(Data!D872,"-"," ")),""))))</f>
        <v/>
      </c>
      <c r="C872">
        <f>IF(Data!A872="","",IF(AND(A872="",B872=""),"Undated",IF(AND(A872&lt;&gt;"",TODAY()&lt;A872),"Upcoming",IF(AND(B872&lt;&gt;"",TODAY()&gt;B872),"Completed","Active"))))</f>
        <v/>
      </c>
    </row>
    <row r="873">
      <c r="A873" s="2">
        <f>IF(Data!A873="","",IF(ISNUMBER(Data!C873),Data!C873,IFERROR(DATEVALUE(Data!C873),IFERROR(DATEVALUE(SUBSTITUTE(Data!C873,"-"," ")),""))))</f>
        <v/>
      </c>
      <c r="B873" s="2">
        <f>IF(Data!A873="","",IF(ISNUMBER(Data!D873),Data!D873,IFERROR(DATEVALUE(Data!D873),IFERROR(DATEVALUE(SUBSTITUTE(Data!D873,"-"," ")),""))))</f>
        <v/>
      </c>
      <c r="C873">
        <f>IF(Data!A873="","",IF(AND(A873="",B873=""),"Undated",IF(AND(A873&lt;&gt;"",TODAY()&lt;A873),"Upcoming",IF(AND(B873&lt;&gt;"",TODAY()&gt;B873),"Completed","Active"))))</f>
        <v/>
      </c>
    </row>
    <row r="874">
      <c r="A874" s="2">
        <f>IF(Data!A874="","",IF(ISNUMBER(Data!C874),Data!C874,IFERROR(DATEVALUE(Data!C874),IFERROR(DATEVALUE(SUBSTITUTE(Data!C874,"-"," ")),""))))</f>
        <v/>
      </c>
      <c r="B874" s="2">
        <f>IF(Data!A874="","",IF(ISNUMBER(Data!D874),Data!D874,IFERROR(DATEVALUE(Data!D874),IFERROR(DATEVALUE(SUBSTITUTE(Data!D874,"-"," ")),""))))</f>
        <v/>
      </c>
      <c r="C874">
        <f>IF(Data!A874="","",IF(AND(A874="",B874=""),"Undated",IF(AND(A874&lt;&gt;"",TODAY()&lt;A874),"Upcoming",IF(AND(B874&lt;&gt;"",TODAY()&gt;B874),"Completed","Active"))))</f>
        <v/>
      </c>
    </row>
    <row r="875">
      <c r="A875" s="2">
        <f>IF(Data!A875="","",IF(ISNUMBER(Data!C875),Data!C875,IFERROR(DATEVALUE(Data!C875),IFERROR(DATEVALUE(SUBSTITUTE(Data!C875,"-"," ")),""))))</f>
        <v/>
      </c>
      <c r="B875" s="2">
        <f>IF(Data!A875="","",IF(ISNUMBER(Data!D875),Data!D875,IFERROR(DATEVALUE(Data!D875),IFERROR(DATEVALUE(SUBSTITUTE(Data!D875,"-"," ")),""))))</f>
        <v/>
      </c>
      <c r="C875">
        <f>IF(Data!A875="","",IF(AND(A875="",B875=""),"Undated",IF(AND(A875&lt;&gt;"",TODAY()&lt;A875),"Upcoming",IF(AND(B875&lt;&gt;"",TODAY()&gt;B875),"Completed","Active"))))</f>
        <v/>
      </c>
    </row>
    <row r="876">
      <c r="A876" s="2">
        <f>IF(Data!A876="","",IF(ISNUMBER(Data!C876),Data!C876,IFERROR(DATEVALUE(Data!C876),IFERROR(DATEVALUE(SUBSTITUTE(Data!C876,"-"," ")),""))))</f>
        <v/>
      </c>
      <c r="B876" s="2">
        <f>IF(Data!A876="","",IF(ISNUMBER(Data!D876),Data!D876,IFERROR(DATEVALUE(Data!D876),IFERROR(DATEVALUE(SUBSTITUTE(Data!D876,"-"," ")),""))))</f>
        <v/>
      </c>
      <c r="C876">
        <f>IF(Data!A876="","",IF(AND(A876="",B876=""),"Undated",IF(AND(A876&lt;&gt;"",TODAY()&lt;A876),"Upcoming",IF(AND(B876&lt;&gt;"",TODAY()&gt;B876),"Completed","Active"))))</f>
        <v/>
      </c>
    </row>
    <row r="877">
      <c r="A877" s="2">
        <f>IF(Data!A877="","",IF(ISNUMBER(Data!C877),Data!C877,IFERROR(DATEVALUE(Data!C877),IFERROR(DATEVALUE(SUBSTITUTE(Data!C877,"-"," ")),""))))</f>
        <v/>
      </c>
      <c r="B877" s="2">
        <f>IF(Data!A877="","",IF(ISNUMBER(Data!D877),Data!D877,IFERROR(DATEVALUE(Data!D877),IFERROR(DATEVALUE(SUBSTITUTE(Data!D877,"-"," ")),""))))</f>
        <v/>
      </c>
      <c r="C877">
        <f>IF(Data!A877="","",IF(AND(A877="",B877=""),"Undated",IF(AND(A877&lt;&gt;"",TODAY()&lt;A877),"Upcoming",IF(AND(B877&lt;&gt;"",TODAY()&gt;B877),"Completed","Active"))))</f>
        <v/>
      </c>
    </row>
    <row r="878">
      <c r="A878" s="2">
        <f>IF(Data!A878="","",IF(ISNUMBER(Data!C878),Data!C878,IFERROR(DATEVALUE(Data!C878),IFERROR(DATEVALUE(SUBSTITUTE(Data!C878,"-"," ")),""))))</f>
        <v/>
      </c>
      <c r="B878" s="2">
        <f>IF(Data!A878="","",IF(ISNUMBER(Data!D878),Data!D878,IFERROR(DATEVALUE(Data!D878),IFERROR(DATEVALUE(SUBSTITUTE(Data!D878,"-"," ")),""))))</f>
        <v/>
      </c>
      <c r="C878">
        <f>IF(Data!A878="","",IF(AND(A878="",B878=""),"Undated",IF(AND(A878&lt;&gt;"",TODAY()&lt;A878),"Upcoming",IF(AND(B878&lt;&gt;"",TODAY()&gt;B878),"Completed","Active"))))</f>
        <v/>
      </c>
    </row>
    <row r="879">
      <c r="A879" s="2">
        <f>IF(Data!A879="","",IF(ISNUMBER(Data!C879),Data!C879,IFERROR(DATEVALUE(Data!C879),IFERROR(DATEVALUE(SUBSTITUTE(Data!C879,"-"," ")),""))))</f>
        <v/>
      </c>
      <c r="B879" s="2">
        <f>IF(Data!A879="","",IF(ISNUMBER(Data!D879),Data!D879,IFERROR(DATEVALUE(Data!D879),IFERROR(DATEVALUE(SUBSTITUTE(Data!D879,"-"," ")),""))))</f>
        <v/>
      </c>
      <c r="C879">
        <f>IF(Data!A879="","",IF(AND(A879="",B879=""),"Undated",IF(AND(A879&lt;&gt;"",TODAY()&lt;A879),"Upcoming",IF(AND(B879&lt;&gt;"",TODAY()&gt;B879),"Completed","Active"))))</f>
        <v/>
      </c>
    </row>
    <row r="880">
      <c r="A880" s="2">
        <f>IF(Data!A880="","",IF(ISNUMBER(Data!C880),Data!C880,IFERROR(DATEVALUE(Data!C880),IFERROR(DATEVALUE(SUBSTITUTE(Data!C880,"-"," ")),""))))</f>
        <v/>
      </c>
      <c r="B880" s="2">
        <f>IF(Data!A880="","",IF(ISNUMBER(Data!D880),Data!D880,IFERROR(DATEVALUE(Data!D880),IFERROR(DATEVALUE(SUBSTITUTE(Data!D880,"-"," ")),""))))</f>
        <v/>
      </c>
      <c r="C880">
        <f>IF(Data!A880="","",IF(AND(A880="",B880=""),"Undated",IF(AND(A880&lt;&gt;"",TODAY()&lt;A880),"Upcoming",IF(AND(B880&lt;&gt;"",TODAY()&gt;B880),"Completed","Active"))))</f>
        <v/>
      </c>
    </row>
    <row r="881">
      <c r="A881" s="2">
        <f>IF(Data!A881="","",IF(ISNUMBER(Data!C881),Data!C881,IFERROR(DATEVALUE(Data!C881),IFERROR(DATEVALUE(SUBSTITUTE(Data!C881,"-"," ")),""))))</f>
        <v/>
      </c>
      <c r="B881" s="2">
        <f>IF(Data!A881="","",IF(ISNUMBER(Data!D881),Data!D881,IFERROR(DATEVALUE(Data!D881),IFERROR(DATEVALUE(SUBSTITUTE(Data!D881,"-"," ")),""))))</f>
        <v/>
      </c>
      <c r="C881">
        <f>IF(Data!A881="","",IF(AND(A881="",B881=""),"Undated",IF(AND(A881&lt;&gt;"",TODAY()&lt;A881),"Upcoming",IF(AND(B881&lt;&gt;"",TODAY()&gt;B881),"Completed","Active"))))</f>
        <v/>
      </c>
    </row>
    <row r="882">
      <c r="A882" s="2">
        <f>IF(Data!A882="","",IF(ISNUMBER(Data!C882),Data!C882,IFERROR(DATEVALUE(Data!C882),IFERROR(DATEVALUE(SUBSTITUTE(Data!C882,"-"," ")),""))))</f>
        <v/>
      </c>
      <c r="B882" s="2">
        <f>IF(Data!A882="","",IF(ISNUMBER(Data!D882),Data!D882,IFERROR(DATEVALUE(Data!D882),IFERROR(DATEVALUE(SUBSTITUTE(Data!D882,"-"," ")),""))))</f>
        <v/>
      </c>
      <c r="C882">
        <f>IF(Data!A882="","",IF(AND(A882="",B882=""),"Undated",IF(AND(A882&lt;&gt;"",TODAY()&lt;A882),"Upcoming",IF(AND(B882&lt;&gt;"",TODAY()&gt;B882),"Completed","Active"))))</f>
        <v/>
      </c>
    </row>
    <row r="883">
      <c r="A883" s="2">
        <f>IF(Data!A883="","",IF(ISNUMBER(Data!C883),Data!C883,IFERROR(DATEVALUE(Data!C883),IFERROR(DATEVALUE(SUBSTITUTE(Data!C883,"-"," ")),""))))</f>
        <v/>
      </c>
      <c r="B883" s="2">
        <f>IF(Data!A883="","",IF(ISNUMBER(Data!D883),Data!D883,IFERROR(DATEVALUE(Data!D883),IFERROR(DATEVALUE(SUBSTITUTE(Data!D883,"-"," ")),""))))</f>
        <v/>
      </c>
      <c r="C883">
        <f>IF(Data!A883="","",IF(AND(A883="",B883=""),"Undated",IF(AND(A883&lt;&gt;"",TODAY()&lt;A883),"Upcoming",IF(AND(B883&lt;&gt;"",TODAY()&gt;B883),"Completed","Active"))))</f>
        <v/>
      </c>
    </row>
    <row r="884">
      <c r="A884" s="2">
        <f>IF(Data!A884="","",IF(ISNUMBER(Data!C884),Data!C884,IFERROR(DATEVALUE(Data!C884),IFERROR(DATEVALUE(SUBSTITUTE(Data!C884,"-"," ")),""))))</f>
        <v/>
      </c>
      <c r="B884" s="2">
        <f>IF(Data!A884="","",IF(ISNUMBER(Data!D884),Data!D884,IFERROR(DATEVALUE(Data!D884),IFERROR(DATEVALUE(SUBSTITUTE(Data!D884,"-"," ")),""))))</f>
        <v/>
      </c>
      <c r="C884">
        <f>IF(Data!A884="","",IF(AND(A884="",B884=""),"Undated",IF(AND(A884&lt;&gt;"",TODAY()&lt;A884),"Upcoming",IF(AND(B884&lt;&gt;"",TODAY()&gt;B884),"Completed","Active"))))</f>
        <v/>
      </c>
    </row>
    <row r="885">
      <c r="A885" s="2">
        <f>IF(Data!A885="","",IF(ISNUMBER(Data!C885),Data!C885,IFERROR(DATEVALUE(Data!C885),IFERROR(DATEVALUE(SUBSTITUTE(Data!C885,"-"," ")),""))))</f>
        <v/>
      </c>
      <c r="B885" s="2">
        <f>IF(Data!A885="","",IF(ISNUMBER(Data!D885),Data!D885,IFERROR(DATEVALUE(Data!D885),IFERROR(DATEVALUE(SUBSTITUTE(Data!D885,"-"," ")),""))))</f>
        <v/>
      </c>
      <c r="C885">
        <f>IF(Data!A885="","",IF(AND(A885="",B885=""),"Undated",IF(AND(A885&lt;&gt;"",TODAY()&lt;A885),"Upcoming",IF(AND(B885&lt;&gt;"",TODAY()&gt;B885),"Completed","Active"))))</f>
        <v/>
      </c>
    </row>
    <row r="886">
      <c r="A886" s="2">
        <f>IF(Data!A886="","",IF(ISNUMBER(Data!C886),Data!C886,IFERROR(DATEVALUE(Data!C886),IFERROR(DATEVALUE(SUBSTITUTE(Data!C886,"-"," ")),""))))</f>
        <v/>
      </c>
      <c r="B886" s="2">
        <f>IF(Data!A886="","",IF(ISNUMBER(Data!D886),Data!D886,IFERROR(DATEVALUE(Data!D886),IFERROR(DATEVALUE(SUBSTITUTE(Data!D886,"-"," ")),""))))</f>
        <v/>
      </c>
      <c r="C886">
        <f>IF(Data!A886="","",IF(AND(A886="",B886=""),"Undated",IF(AND(A886&lt;&gt;"",TODAY()&lt;A886),"Upcoming",IF(AND(B886&lt;&gt;"",TODAY()&gt;B886),"Completed","Active"))))</f>
        <v/>
      </c>
    </row>
    <row r="887">
      <c r="A887" s="2">
        <f>IF(Data!A887="","",IF(ISNUMBER(Data!C887),Data!C887,IFERROR(DATEVALUE(Data!C887),IFERROR(DATEVALUE(SUBSTITUTE(Data!C887,"-"," ")),""))))</f>
        <v/>
      </c>
      <c r="B887" s="2">
        <f>IF(Data!A887="","",IF(ISNUMBER(Data!D887),Data!D887,IFERROR(DATEVALUE(Data!D887),IFERROR(DATEVALUE(SUBSTITUTE(Data!D887,"-"," ")),""))))</f>
        <v/>
      </c>
      <c r="C887">
        <f>IF(Data!A887="","",IF(AND(A887="",B887=""),"Undated",IF(AND(A887&lt;&gt;"",TODAY()&lt;A887),"Upcoming",IF(AND(B887&lt;&gt;"",TODAY()&gt;B887),"Completed","Active"))))</f>
        <v/>
      </c>
    </row>
    <row r="888">
      <c r="A888" s="2">
        <f>IF(Data!A888="","",IF(ISNUMBER(Data!C888),Data!C888,IFERROR(DATEVALUE(Data!C888),IFERROR(DATEVALUE(SUBSTITUTE(Data!C888,"-"," ")),""))))</f>
        <v/>
      </c>
      <c r="B888" s="2">
        <f>IF(Data!A888="","",IF(ISNUMBER(Data!D888),Data!D888,IFERROR(DATEVALUE(Data!D888),IFERROR(DATEVALUE(SUBSTITUTE(Data!D888,"-"," ")),""))))</f>
        <v/>
      </c>
      <c r="C888">
        <f>IF(Data!A888="","",IF(AND(A888="",B888=""),"Undated",IF(AND(A888&lt;&gt;"",TODAY()&lt;A888),"Upcoming",IF(AND(B888&lt;&gt;"",TODAY()&gt;B888),"Completed","Active"))))</f>
        <v/>
      </c>
    </row>
    <row r="889">
      <c r="A889" s="2">
        <f>IF(Data!A889="","",IF(ISNUMBER(Data!C889),Data!C889,IFERROR(DATEVALUE(Data!C889),IFERROR(DATEVALUE(SUBSTITUTE(Data!C889,"-"," ")),""))))</f>
        <v/>
      </c>
      <c r="B889" s="2">
        <f>IF(Data!A889="","",IF(ISNUMBER(Data!D889),Data!D889,IFERROR(DATEVALUE(Data!D889),IFERROR(DATEVALUE(SUBSTITUTE(Data!D889,"-"," ")),""))))</f>
        <v/>
      </c>
      <c r="C889">
        <f>IF(Data!A889="","",IF(AND(A889="",B889=""),"Undated",IF(AND(A889&lt;&gt;"",TODAY()&lt;A889),"Upcoming",IF(AND(B889&lt;&gt;"",TODAY()&gt;B889),"Completed","Active"))))</f>
        <v/>
      </c>
    </row>
    <row r="890">
      <c r="A890" s="2">
        <f>IF(Data!A890="","",IF(ISNUMBER(Data!C890),Data!C890,IFERROR(DATEVALUE(Data!C890),IFERROR(DATEVALUE(SUBSTITUTE(Data!C890,"-"," ")),""))))</f>
        <v/>
      </c>
      <c r="B890" s="2">
        <f>IF(Data!A890="","",IF(ISNUMBER(Data!D890),Data!D890,IFERROR(DATEVALUE(Data!D890),IFERROR(DATEVALUE(SUBSTITUTE(Data!D890,"-"," ")),""))))</f>
        <v/>
      </c>
      <c r="C890">
        <f>IF(Data!A890="","",IF(AND(A890="",B890=""),"Undated",IF(AND(A890&lt;&gt;"",TODAY()&lt;A890),"Upcoming",IF(AND(B890&lt;&gt;"",TODAY()&gt;B890),"Completed","Active"))))</f>
        <v/>
      </c>
    </row>
    <row r="891">
      <c r="A891" s="2">
        <f>IF(Data!A891="","",IF(ISNUMBER(Data!C891),Data!C891,IFERROR(DATEVALUE(Data!C891),IFERROR(DATEVALUE(SUBSTITUTE(Data!C891,"-"," ")),""))))</f>
        <v/>
      </c>
      <c r="B891" s="2">
        <f>IF(Data!A891="","",IF(ISNUMBER(Data!D891),Data!D891,IFERROR(DATEVALUE(Data!D891),IFERROR(DATEVALUE(SUBSTITUTE(Data!D891,"-"," ")),""))))</f>
        <v/>
      </c>
      <c r="C891">
        <f>IF(Data!A891="","",IF(AND(A891="",B891=""),"Undated",IF(AND(A891&lt;&gt;"",TODAY()&lt;A891),"Upcoming",IF(AND(B891&lt;&gt;"",TODAY()&gt;B891),"Completed","Active"))))</f>
        <v/>
      </c>
    </row>
    <row r="892">
      <c r="A892" s="2">
        <f>IF(Data!A892="","",IF(ISNUMBER(Data!C892),Data!C892,IFERROR(DATEVALUE(Data!C892),IFERROR(DATEVALUE(SUBSTITUTE(Data!C892,"-"," ")),""))))</f>
        <v/>
      </c>
      <c r="B892" s="2">
        <f>IF(Data!A892="","",IF(ISNUMBER(Data!D892),Data!D892,IFERROR(DATEVALUE(Data!D892),IFERROR(DATEVALUE(SUBSTITUTE(Data!D892,"-"," ")),""))))</f>
        <v/>
      </c>
      <c r="C892">
        <f>IF(Data!A892="","",IF(AND(A892="",B892=""),"Undated",IF(AND(A892&lt;&gt;"",TODAY()&lt;A892),"Upcoming",IF(AND(B892&lt;&gt;"",TODAY()&gt;B892),"Completed","Active"))))</f>
        <v/>
      </c>
    </row>
    <row r="893">
      <c r="A893" s="2">
        <f>IF(Data!A893="","",IF(ISNUMBER(Data!C893),Data!C893,IFERROR(DATEVALUE(Data!C893),IFERROR(DATEVALUE(SUBSTITUTE(Data!C893,"-"," ")),""))))</f>
        <v/>
      </c>
      <c r="B893" s="2">
        <f>IF(Data!A893="","",IF(ISNUMBER(Data!D893),Data!D893,IFERROR(DATEVALUE(Data!D893),IFERROR(DATEVALUE(SUBSTITUTE(Data!D893,"-"," ")),""))))</f>
        <v/>
      </c>
      <c r="C893">
        <f>IF(Data!A893="","",IF(AND(A893="",B893=""),"Undated",IF(AND(A893&lt;&gt;"",TODAY()&lt;A893),"Upcoming",IF(AND(B893&lt;&gt;"",TODAY()&gt;B893),"Completed","Active"))))</f>
        <v/>
      </c>
    </row>
    <row r="894">
      <c r="A894" s="2">
        <f>IF(Data!A894="","",IF(ISNUMBER(Data!C894),Data!C894,IFERROR(DATEVALUE(Data!C894),IFERROR(DATEVALUE(SUBSTITUTE(Data!C894,"-"," ")),""))))</f>
        <v/>
      </c>
      <c r="B894" s="2">
        <f>IF(Data!A894="","",IF(ISNUMBER(Data!D894),Data!D894,IFERROR(DATEVALUE(Data!D894),IFERROR(DATEVALUE(SUBSTITUTE(Data!D894,"-"," ")),""))))</f>
        <v/>
      </c>
      <c r="C894">
        <f>IF(Data!A894="","",IF(AND(A894="",B894=""),"Undated",IF(AND(A894&lt;&gt;"",TODAY()&lt;A894),"Upcoming",IF(AND(B894&lt;&gt;"",TODAY()&gt;B894),"Completed","Active"))))</f>
        <v/>
      </c>
    </row>
    <row r="895">
      <c r="A895" s="2">
        <f>IF(Data!A895="","",IF(ISNUMBER(Data!C895),Data!C895,IFERROR(DATEVALUE(Data!C895),IFERROR(DATEVALUE(SUBSTITUTE(Data!C895,"-"," ")),""))))</f>
        <v/>
      </c>
      <c r="B895" s="2">
        <f>IF(Data!A895="","",IF(ISNUMBER(Data!D895),Data!D895,IFERROR(DATEVALUE(Data!D895),IFERROR(DATEVALUE(SUBSTITUTE(Data!D895,"-"," ")),""))))</f>
        <v/>
      </c>
      <c r="C895">
        <f>IF(Data!A895="","",IF(AND(A895="",B895=""),"Undated",IF(AND(A895&lt;&gt;"",TODAY()&lt;A895),"Upcoming",IF(AND(B895&lt;&gt;"",TODAY()&gt;B895),"Completed","Active"))))</f>
        <v/>
      </c>
    </row>
    <row r="896">
      <c r="A896" s="2">
        <f>IF(Data!A896="","",IF(ISNUMBER(Data!C896),Data!C896,IFERROR(DATEVALUE(Data!C896),IFERROR(DATEVALUE(SUBSTITUTE(Data!C896,"-"," ")),""))))</f>
        <v/>
      </c>
      <c r="B896" s="2">
        <f>IF(Data!A896="","",IF(ISNUMBER(Data!D896),Data!D896,IFERROR(DATEVALUE(Data!D896),IFERROR(DATEVALUE(SUBSTITUTE(Data!D896,"-"," ")),""))))</f>
        <v/>
      </c>
      <c r="C896">
        <f>IF(Data!A896="","",IF(AND(A896="",B896=""),"Undated",IF(AND(A896&lt;&gt;"",TODAY()&lt;A896),"Upcoming",IF(AND(B896&lt;&gt;"",TODAY()&gt;B896),"Completed","Active"))))</f>
        <v/>
      </c>
    </row>
    <row r="897">
      <c r="A897" s="2">
        <f>IF(Data!A897="","",IF(ISNUMBER(Data!C897),Data!C897,IFERROR(DATEVALUE(Data!C897),IFERROR(DATEVALUE(SUBSTITUTE(Data!C897,"-"," ")),""))))</f>
        <v/>
      </c>
      <c r="B897" s="2">
        <f>IF(Data!A897="","",IF(ISNUMBER(Data!D897),Data!D897,IFERROR(DATEVALUE(Data!D897),IFERROR(DATEVALUE(SUBSTITUTE(Data!D897,"-"," ")),""))))</f>
        <v/>
      </c>
      <c r="C897">
        <f>IF(Data!A897="","",IF(AND(A897="",B897=""),"Undated",IF(AND(A897&lt;&gt;"",TODAY()&lt;A897),"Upcoming",IF(AND(B897&lt;&gt;"",TODAY()&gt;B897),"Completed","Active"))))</f>
        <v/>
      </c>
    </row>
    <row r="898">
      <c r="A898" s="2">
        <f>IF(Data!A898="","",IF(ISNUMBER(Data!C898),Data!C898,IFERROR(DATEVALUE(Data!C898),IFERROR(DATEVALUE(SUBSTITUTE(Data!C898,"-"," ")),""))))</f>
        <v/>
      </c>
      <c r="B898" s="2">
        <f>IF(Data!A898="","",IF(ISNUMBER(Data!D898),Data!D898,IFERROR(DATEVALUE(Data!D898),IFERROR(DATEVALUE(SUBSTITUTE(Data!D898,"-"," ")),""))))</f>
        <v/>
      </c>
      <c r="C898">
        <f>IF(Data!A898="","",IF(AND(A898="",B898=""),"Undated",IF(AND(A898&lt;&gt;"",TODAY()&lt;A898),"Upcoming",IF(AND(B898&lt;&gt;"",TODAY()&gt;B898),"Completed","Active"))))</f>
        <v/>
      </c>
    </row>
    <row r="899">
      <c r="A899" s="2">
        <f>IF(Data!A899="","",IF(ISNUMBER(Data!C899),Data!C899,IFERROR(DATEVALUE(Data!C899),IFERROR(DATEVALUE(SUBSTITUTE(Data!C899,"-"," ")),""))))</f>
        <v/>
      </c>
      <c r="B899" s="2">
        <f>IF(Data!A899="","",IF(ISNUMBER(Data!D899),Data!D899,IFERROR(DATEVALUE(Data!D899),IFERROR(DATEVALUE(SUBSTITUTE(Data!D899,"-"," ")),""))))</f>
        <v/>
      </c>
      <c r="C899">
        <f>IF(Data!A899="","",IF(AND(A899="",B899=""),"Undated",IF(AND(A899&lt;&gt;"",TODAY()&lt;A899),"Upcoming",IF(AND(B899&lt;&gt;"",TODAY()&gt;B899),"Completed","Active"))))</f>
        <v/>
      </c>
    </row>
    <row r="900">
      <c r="A900" s="2">
        <f>IF(Data!A900="","",IF(ISNUMBER(Data!C900),Data!C900,IFERROR(DATEVALUE(Data!C900),IFERROR(DATEVALUE(SUBSTITUTE(Data!C900,"-"," ")),""))))</f>
        <v/>
      </c>
      <c r="B900" s="2">
        <f>IF(Data!A900="","",IF(ISNUMBER(Data!D900),Data!D900,IFERROR(DATEVALUE(Data!D900),IFERROR(DATEVALUE(SUBSTITUTE(Data!D900,"-"," ")),""))))</f>
        <v/>
      </c>
      <c r="C900">
        <f>IF(Data!A900="","",IF(AND(A900="",B900=""),"Undated",IF(AND(A900&lt;&gt;"",TODAY()&lt;A900),"Upcoming",IF(AND(B900&lt;&gt;"",TODAY()&gt;B900),"Completed","Active"))))</f>
        <v/>
      </c>
    </row>
    <row r="901">
      <c r="A901" s="2">
        <f>IF(Data!A901="","",IF(ISNUMBER(Data!C901),Data!C901,IFERROR(DATEVALUE(Data!C901),IFERROR(DATEVALUE(SUBSTITUTE(Data!C901,"-"," ")),""))))</f>
        <v/>
      </c>
      <c r="B901" s="2">
        <f>IF(Data!A901="","",IF(ISNUMBER(Data!D901),Data!D901,IFERROR(DATEVALUE(Data!D901),IFERROR(DATEVALUE(SUBSTITUTE(Data!D901,"-"," ")),""))))</f>
        <v/>
      </c>
      <c r="C901">
        <f>IF(Data!A901="","",IF(AND(A901="",B901=""),"Undated",IF(AND(A901&lt;&gt;"",TODAY()&lt;A901),"Upcoming",IF(AND(B901&lt;&gt;"",TODAY()&gt;B901),"Completed","Active"))))</f>
        <v/>
      </c>
    </row>
    <row r="902">
      <c r="A902" s="2">
        <f>IF(Data!A902="","",IF(ISNUMBER(Data!C902),Data!C902,IFERROR(DATEVALUE(Data!C902),IFERROR(DATEVALUE(SUBSTITUTE(Data!C902,"-"," ")),""))))</f>
        <v/>
      </c>
      <c r="B902" s="2">
        <f>IF(Data!A902="","",IF(ISNUMBER(Data!D902),Data!D902,IFERROR(DATEVALUE(Data!D902),IFERROR(DATEVALUE(SUBSTITUTE(Data!D902,"-"," ")),""))))</f>
        <v/>
      </c>
      <c r="C902">
        <f>IF(Data!A902="","",IF(AND(A902="",B902=""),"Undated",IF(AND(A902&lt;&gt;"",TODAY()&lt;A902),"Upcoming",IF(AND(B902&lt;&gt;"",TODAY()&gt;B902),"Completed","Active"))))</f>
        <v/>
      </c>
    </row>
    <row r="903">
      <c r="A903" s="2">
        <f>IF(Data!A903="","",IF(ISNUMBER(Data!C903),Data!C903,IFERROR(DATEVALUE(Data!C903),IFERROR(DATEVALUE(SUBSTITUTE(Data!C903,"-"," ")),""))))</f>
        <v/>
      </c>
      <c r="B903" s="2">
        <f>IF(Data!A903="","",IF(ISNUMBER(Data!D903),Data!D903,IFERROR(DATEVALUE(Data!D903),IFERROR(DATEVALUE(SUBSTITUTE(Data!D903,"-"," ")),""))))</f>
        <v/>
      </c>
      <c r="C903">
        <f>IF(Data!A903="","",IF(AND(A903="",B903=""),"Undated",IF(AND(A903&lt;&gt;"",TODAY()&lt;A903),"Upcoming",IF(AND(B903&lt;&gt;"",TODAY()&gt;B903),"Completed","Active"))))</f>
        <v/>
      </c>
    </row>
    <row r="904">
      <c r="A904" s="2">
        <f>IF(Data!A904="","",IF(ISNUMBER(Data!C904),Data!C904,IFERROR(DATEVALUE(Data!C904),IFERROR(DATEVALUE(SUBSTITUTE(Data!C904,"-"," ")),""))))</f>
        <v/>
      </c>
      <c r="B904" s="2">
        <f>IF(Data!A904="","",IF(ISNUMBER(Data!D904),Data!D904,IFERROR(DATEVALUE(Data!D904),IFERROR(DATEVALUE(SUBSTITUTE(Data!D904,"-"," ")),""))))</f>
        <v/>
      </c>
      <c r="C904">
        <f>IF(Data!A904="","",IF(AND(A904="",B904=""),"Undated",IF(AND(A904&lt;&gt;"",TODAY()&lt;A904),"Upcoming",IF(AND(B904&lt;&gt;"",TODAY()&gt;B904),"Completed","Active"))))</f>
        <v/>
      </c>
    </row>
    <row r="905">
      <c r="A905" s="2">
        <f>IF(Data!A905="","",IF(ISNUMBER(Data!C905),Data!C905,IFERROR(DATEVALUE(Data!C905),IFERROR(DATEVALUE(SUBSTITUTE(Data!C905,"-"," ")),""))))</f>
        <v/>
      </c>
      <c r="B905" s="2">
        <f>IF(Data!A905="","",IF(ISNUMBER(Data!D905),Data!D905,IFERROR(DATEVALUE(Data!D905),IFERROR(DATEVALUE(SUBSTITUTE(Data!D905,"-"," ")),""))))</f>
        <v/>
      </c>
      <c r="C905">
        <f>IF(Data!A905="","",IF(AND(A905="",B905=""),"Undated",IF(AND(A905&lt;&gt;"",TODAY()&lt;A905),"Upcoming",IF(AND(B905&lt;&gt;"",TODAY()&gt;B905),"Completed","Active"))))</f>
        <v/>
      </c>
    </row>
    <row r="906">
      <c r="A906" s="2">
        <f>IF(Data!A906="","",IF(ISNUMBER(Data!C906),Data!C906,IFERROR(DATEVALUE(Data!C906),IFERROR(DATEVALUE(SUBSTITUTE(Data!C906,"-"," ")),""))))</f>
        <v/>
      </c>
      <c r="B906" s="2">
        <f>IF(Data!A906="","",IF(ISNUMBER(Data!D906),Data!D906,IFERROR(DATEVALUE(Data!D906),IFERROR(DATEVALUE(SUBSTITUTE(Data!D906,"-"," ")),""))))</f>
        <v/>
      </c>
      <c r="C906">
        <f>IF(Data!A906="","",IF(AND(A906="",B906=""),"Undated",IF(AND(A906&lt;&gt;"",TODAY()&lt;A906),"Upcoming",IF(AND(B906&lt;&gt;"",TODAY()&gt;B906),"Completed","Active"))))</f>
        <v/>
      </c>
    </row>
    <row r="907">
      <c r="A907" s="2">
        <f>IF(Data!A907="","",IF(ISNUMBER(Data!C907),Data!C907,IFERROR(DATEVALUE(Data!C907),IFERROR(DATEVALUE(SUBSTITUTE(Data!C907,"-"," ")),""))))</f>
        <v/>
      </c>
      <c r="B907" s="2">
        <f>IF(Data!A907="","",IF(ISNUMBER(Data!D907),Data!D907,IFERROR(DATEVALUE(Data!D907),IFERROR(DATEVALUE(SUBSTITUTE(Data!D907,"-"," ")),""))))</f>
        <v/>
      </c>
      <c r="C907">
        <f>IF(Data!A907="","",IF(AND(A907="",B907=""),"Undated",IF(AND(A907&lt;&gt;"",TODAY()&lt;A907),"Upcoming",IF(AND(B907&lt;&gt;"",TODAY()&gt;B907),"Completed","Active"))))</f>
        <v/>
      </c>
    </row>
    <row r="908">
      <c r="A908" s="2">
        <f>IF(Data!A908="","",IF(ISNUMBER(Data!C908),Data!C908,IFERROR(DATEVALUE(Data!C908),IFERROR(DATEVALUE(SUBSTITUTE(Data!C908,"-"," ")),""))))</f>
        <v/>
      </c>
      <c r="B908" s="2">
        <f>IF(Data!A908="","",IF(ISNUMBER(Data!D908),Data!D908,IFERROR(DATEVALUE(Data!D908),IFERROR(DATEVALUE(SUBSTITUTE(Data!D908,"-"," ")),""))))</f>
        <v/>
      </c>
      <c r="C908">
        <f>IF(Data!A908="","",IF(AND(A908="",B908=""),"Undated",IF(AND(A908&lt;&gt;"",TODAY()&lt;A908),"Upcoming",IF(AND(B908&lt;&gt;"",TODAY()&gt;B908),"Completed","Active"))))</f>
        <v/>
      </c>
    </row>
    <row r="909">
      <c r="A909" s="2">
        <f>IF(Data!A909="","",IF(ISNUMBER(Data!C909),Data!C909,IFERROR(DATEVALUE(Data!C909),IFERROR(DATEVALUE(SUBSTITUTE(Data!C909,"-"," ")),""))))</f>
        <v/>
      </c>
      <c r="B909" s="2">
        <f>IF(Data!A909="","",IF(ISNUMBER(Data!D909),Data!D909,IFERROR(DATEVALUE(Data!D909),IFERROR(DATEVALUE(SUBSTITUTE(Data!D909,"-"," ")),""))))</f>
        <v/>
      </c>
      <c r="C909">
        <f>IF(Data!A909="","",IF(AND(A909="",B909=""),"Undated",IF(AND(A909&lt;&gt;"",TODAY()&lt;A909),"Upcoming",IF(AND(B909&lt;&gt;"",TODAY()&gt;B909),"Completed","Active"))))</f>
        <v/>
      </c>
    </row>
    <row r="910">
      <c r="A910" s="2">
        <f>IF(Data!A910="","",IF(ISNUMBER(Data!C910),Data!C910,IFERROR(DATEVALUE(Data!C910),IFERROR(DATEVALUE(SUBSTITUTE(Data!C910,"-"," ")),""))))</f>
        <v/>
      </c>
      <c r="B910" s="2">
        <f>IF(Data!A910="","",IF(ISNUMBER(Data!D910),Data!D910,IFERROR(DATEVALUE(Data!D910),IFERROR(DATEVALUE(SUBSTITUTE(Data!D910,"-"," ")),""))))</f>
        <v/>
      </c>
      <c r="C910">
        <f>IF(Data!A910="","",IF(AND(A910="",B910=""),"Undated",IF(AND(A910&lt;&gt;"",TODAY()&lt;A910),"Upcoming",IF(AND(B910&lt;&gt;"",TODAY()&gt;B910),"Completed","Active"))))</f>
        <v/>
      </c>
    </row>
    <row r="911">
      <c r="A911" s="2">
        <f>IF(Data!A911="","",IF(ISNUMBER(Data!C911),Data!C911,IFERROR(DATEVALUE(Data!C911),IFERROR(DATEVALUE(SUBSTITUTE(Data!C911,"-"," ")),""))))</f>
        <v/>
      </c>
      <c r="B911" s="2">
        <f>IF(Data!A911="","",IF(ISNUMBER(Data!D911),Data!D911,IFERROR(DATEVALUE(Data!D911),IFERROR(DATEVALUE(SUBSTITUTE(Data!D911,"-"," ")),""))))</f>
        <v/>
      </c>
      <c r="C911">
        <f>IF(Data!A911="","",IF(AND(A911="",B911=""),"Undated",IF(AND(A911&lt;&gt;"",TODAY()&lt;A911),"Upcoming",IF(AND(B911&lt;&gt;"",TODAY()&gt;B911),"Completed","Active"))))</f>
        <v/>
      </c>
    </row>
    <row r="912">
      <c r="A912" s="2">
        <f>IF(Data!A912="","",IF(ISNUMBER(Data!C912),Data!C912,IFERROR(DATEVALUE(Data!C912),IFERROR(DATEVALUE(SUBSTITUTE(Data!C912,"-"," ")),""))))</f>
        <v/>
      </c>
      <c r="B912" s="2">
        <f>IF(Data!A912="","",IF(ISNUMBER(Data!D912),Data!D912,IFERROR(DATEVALUE(Data!D912),IFERROR(DATEVALUE(SUBSTITUTE(Data!D912,"-"," ")),""))))</f>
        <v/>
      </c>
      <c r="C912">
        <f>IF(Data!A912="","",IF(AND(A912="",B912=""),"Undated",IF(AND(A912&lt;&gt;"",TODAY()&lt;A912),"Upcoming",IF(AND(B912&lt;&gt;"",TODAY()&gt;B912),"Completed","Active"))))</f>
        <v/>
      </c>
    </row>
    <row r="913">
      <c r="A913" s="2">
        <f>IF(Data!A913="","",IF(ISNUMBER(Data!C913),Data!C913,IFERROR(DATEVALUE(Data!C913),IFERROR(DATEVALUE(SUBSTITUTE(Data!C913,"-"," ")),""))))</f>
        <v/>
      </c>
      <c r="B913" s="2">
        <f>IF(Data!A913="","",IF(ISNUMBER(Data!D913),Data!D913,IFERROR(DATEVALUE(Data!D913),IFERROR(DATEVALUE(SUBSTITUTE(Data!D913,"-"," ")),""))))</f>
        <v/>
      </c>
      <c r="C913">
        <f>IF(Data!A913="","",IF(AND(A913="",B913=""),"Undated",IF(AND(A913&lt;&gt;"",TODAY()&lt;A913),"Upcoming",IF(AND(B913&lt;&gt;"",TODAY()&gt;B913),"Completed","Active"))))</f>
        <v/>
      </c>
    </row>
    <row r="914">
      <c r="A914" s="2">
        <f>IF(Data!A914="","",IF(ISNUMBER(Data!C914),Data!C914,IFERROR(DATEVALUE(Data!C914),IFERROR(DATEVALUE(SUBSTITUTE(Data!C914,"-"," ")),""))))</f>
        <v/>
      </c>
      <c r="B914" s="2">
        <f>IF(Data!A914="","",IF(ISNUMBER(Data!D914),Data!D914,IFERROR(DATEVALUE(Data!D914),IFERROR(DATEVALUE(SUBSTITUTE(Data!D914,"-"," ")),""))))</f>
        <v/>
      </c>
      <c r="C914">
        <f>IF(Data!A914="","",IF(AND(A914="",B914=""),"Undated",IF(AND(A914&lt;&gt;"",TODAY()&lt;A914),"Upcoming",IF(AND(B914&lt;&gt;"",TODAY()&gt;B914),"Completed","Active"))))</f>
        <v/>
      </c>
    </row>
    <row r="915">
      <c r="A915" s="2">
        <f>IF(Data!A915="","",IF(ISNUMBER(Data!C915),Data!C915,IFERROR(DATEVALUE(Data!C915),IFERROR(DATEVALUE(SUBSTITUTE(Data!C915,"-"," ")),""))))</f>
        <v/>
      </c>
      <c r="B915" s="2">
        <f>IF(Data!A915="","",IF(ISNUMBER(Data!D915),Data!D915,IFERROR(DATEVALUE(Data!D915),IFERROR(DATEVALUE(SUBSTITUTE(Data!D915,"-"," ")),""))))</f>
        <v/>
      </c>
      <c r="C915">
        <f>IF(Data!A915="","",IF(AND(A915="",B915=""),"Undated",IF(AND(A915&lt;&gt;"",TODAY()&lt;A915),"Upcoming",IF(AND(B915&lt;&gt;"",TODAY()&gt;B915),"Completed","Active"))))</f>
        <v/>
      </c>
    </row>
    <row r="916">
      <c r="A916" s="2">
        <f>IF(Data!A916="","",IF(ISNUMBER(Data!C916),Data!C916,IFERROR(DATEVALUE(Data!C916),IFERROR(DATEVALUE(SUBSTITUTE(Data!C916,"-"," ")),""))))</f>
        <v/>
      </c>
      <c r="B916" s="2">
        <f>IF(Data!A916="","",IF(ISNUMBER(Data!D916),Data!D916,IFERROR(DATEVALUE(Data!D916),IFERROR(DATEVALUE(SUBSTITUTE(Data!D916,"-"," ")),""))))</f>
        <v/>
      </c>
      <c r="C916">
        <f>IF(Data!A916="","",IF(AND(A916="",B916=""),"Undated",IF(AND(A916&lt;&gt;"",TODAY()&lt;A916),"Upcoming",IF(AND(B916&lt;&gt;"",TODAY()&gt;B916),"Completed","Active"))))</f>
        <v/>
      </c>
    </row>
    <row r="917">
      <c r="A917" s="2">
        <f>IF(Data!A917="","",IF(ISNUMBER(Data!C917),Data!C917,IFERROR(DATEVALUE(Data!C917),IFERROR(DATEVALUE(SUBSTITUTE(Data!C917,"-"," ")),""))))</f>
        <v/>
      </c>
      <c r="B917" s="2">
        <f>IF(Data!A917="","",IF(ISNUMBER(Data!D917),Data!D917,IFERROR(DATEVALUE(Data!D917),IFERROR(DATEVALUE(SUBSTITUTE(Data!D917,"-"," ")),""))))</f>
        <v/>
      </c>
      <c r="C917">
        <f>IF(Data!A917="","",IF(AND(A917="",B917=""),"Undated",IF(AND(A917&lt;&gt;"",TODAY()&lt;A917),"Upcoming",IF(AND(B917&lt;&gt;"",TODAY()&gt;B917),"Completed","Active"))))</f>
        <v/>
      </c>
    </row>
    <row r="918">
      <c r="A918" s="2">
        <f>IF(Data!A918="","",IF(ISNUMBER(Data!C918),Data!C918,IFERROR(DATEVALUE(Data!C918),IFERROR(DATEVALUE(SUBSTITUTE(Data!C918,"-"," ")),""))))</f>
        <v/>
      </c>
      <c r="B918" s="2">
        <f>IF(Data!A918="","",IF(ISNUMBER(Data!D918),Data!D918,IFERROR(DATEVALUE(Data!D918),IFERROR(DATEVALUE(SUBSTITUTE(Data!D918,"-"," ")),""))))</f>
        <v/>
      </c>
      <c r="C918">
        <f>IF(Data!A918="","",IF(AND(A918="",B918=""),"Undated",IF(AND(A918&lt;&gt;"",TODAY()&lt;A918),"Upcoming",IF(AND(B918&lt;&gt;"",TODAY()&gt;B918),"Completed","Active"))))</f>
        <v/>
      </c>
    </row>
    <row r="919">
      <c r="A919" s="2">
        <f>IF(Data!A919="","",IF(ISNUMBER(Data!C919),Data!C919,IFERROR(DATEVALUE(Data!C919),IFERROR(DATEVALUE(SUBSTITUTE(Data!C919,"-"," ")),""))))</f>
        <v/>
      </c>
      <c r="B919" s="2">
        <f>IF(Data!A919="","",IF(ISNUMBER(Data!D919),Data!D919,IFERROR(DATEVALUE(Data!D919),IFERROR(DATEVALUE(SUBSTITUTE(Data!D919,"-"," ")),""))))</f>
        <v/>
      </c>
      <c r="C919">
        <f>IF(Data!A919="","",IF(AND(A919="",B919=""),"Undated",IF(AND(A919&lt;&gt;"",TODAY()&lt;A919),"Upcoming",IF(AND(B919&lt;&gt;"",TODAY()&gt;B919),"Completed","Active"))))</f>
        <v/>
      </c>
    </row>
    <row r="920">
      <c r="A920" s="2">
        <f>IF(Data!A920="","",IF(ISNUMBER(Data!C920),Data!C920,IFERROR(DATEVALUE(Data!C920),IFERROR(DATEVALUE(SUBSTITUTE(Data!C920,"-"," ")),""))))</f>
        <v/>
      </c>
      <c r="B920" s="2">
        <f>IF(Data!A920="","",IF(ISNUMBER(Data!D920),Data!D920,IFERROR(DATEVALUE(Data!D920),IFERROR(DATEVALUE(SUBSTITUTE(Data!D920,"-"," ")),""))))</f>
        <v/>
      </c>
      <c r="C920">
        <f>IF(Data!A920="","",IF(AND(A920="",B920=""),"Undated",IF(AND(A920&lt;&gt;"",TODAY()&lt;A920),"Upcoming",IF(AND(B920&lt;&gt;"",TODAY()&gt;B920),"Completed","Active"))))</f>
        <v/>
      </c>
    </row>
    <row r="921">
      <c r="A921" s="2">
        <f>IF(Data!A921="","",IF(ISNUMBER(Data!C921),Data!C921,IFERROR(DATEVALUE(Data!C921),IFERROR(DATEVALUE(SUBSTITUTE(Data!C921,"-"," ")),""))))</f>
        <v/>
      </c>
      <c r="B921" s="2">
        <f>IF(Data!A921="","",IF(ISNUMBER(Data!D921),Data!D921,IFERROR(DATEVALUE(Data!D921),IFERROR(DATEVALUE(SUBSTITUTE(Data!D921,"-"," ")),""))))</f>
        <v/>
      </c>
      <c r="C921">
        <f>IF(Data!A921="","",IF(AND(A921="",B921=""),"Undated",IF(AND(A921&lt;&gt;"",TODAY()&lt;A921),"Upcoming",IF(AND(B921&lt;&gt;"",TODAY()&gt;B921),"Completed","Active"))))</f>
        <v/>
      </c>
    </row>
    <row r="922">
      <c r="A922" s="2">
        <f>IF(Data!A922="","",IF(ISNUMBER(Data!C922),Data!C922,IFERROR(DATEVALUE(Data!C922),IFERROR(DATEVALUE(SUBSTITUTE(Data!C922,"-"," ")),""))))</f>
        <v/>
      </c>
      <c r="B922" s="2">
        <f>IF(Data!A922="","",IF(ISNUMBER(Data!D922),Data!D922,IFERROR(DATEVALUE(Data!D922),IFERROR(DATEVALUE(SUBSTITUTE(Data!D922,"-"," ")),""))))</f>
        <v/>
      </c>
      <c r="C922">
        <f>IF(Data!A922="","",IF(AND(A922="",B922=""),"Undated",IF(AND(A922&lt;&gt;"",TODAY()&lt;A922),"Upcoming",IF(AND(B922&lt;&gt;"",TODAY()&gt;B922),"Completed","Active"))))</f>
        <v/>
      </c>
    </row>
    <row r="923">
      <c r="A923" s="2">
        <f>IF(Data!A923="","",IF(ISNUMBER(Data!C923),Data!C923,IFERROR(DATEVALUE(Data!C923),IFERROR(DATEVALUE(SUBSTITUTE(Data!C923,"-"," ")),""))))</f>
        <v/>
      </c>
      <c r="B923" s="2">
        <f>IF(Data!A923="","",IF(ISNUMBER(Data!D923),Data!D923,IFERROR(DATEVALUE(Data!D923),IFERROR(DATEVALUE(SUBSTITUTE(Data!D923,"-"," ")),""))))</f>
        <v/>
      </c>
      <c r="C923">
        <f>IF(Data!A923="","",IF(AND(A923="",B923=""),"Undated",IF(AND(A923&lt;&gt;"",TODAY()&lt;A923),"Upcoming",IF(AND(B923&lt;&gt;"",TODAY()&gt;B923),"Completed","Active"))))</f>
        <v/>
      </c>
    </row>
    <row r="924">
      <c r="A924" s="2">
        <f>IF(Data!A924="","",IF(ISNUMBER(Data!C924),Data!C924,IFERROR(DATEVALUE(Data!C924),IFERROR(DATEVALUE(SUBSTITUTE(Data!C924,"-"," ")),""))))</f>
        <v/>
      </c>
      <c r="B924" s="2">
        <f>IF(Data!A924="","",IF(ISNUMBER(Data!D924),Data!D924,IFERROR(DATEVALUE(Data!D924),IFERROR(DATEVALUE(SUBSTITUTE(Data!D924,"-"," ")),""))))</f>
        <v/>
      </c>
      <c r="C924">
        <f>IF(Data!A924="","",IF(AND(A924="",B924=""),"Undated",IF(AND(A924&lt;&gt;"",TODAY()&lt;A924),"Upcoming",IF(AND(B924&lt;&gt;"",TODAY()&gt;B924),"Completed","Active"))))</f>
        <v/>
      </c>
    </row>
    <row r="925">
      <c r="A925" s="2">
        <f>IF(Data!A925="","",IF(ISNUMBER(Data!C925),Data!C925,IFERROR(DATEVALUE(Data!C925),IFERROR(DATEVALUE(SUBSTITUTE(Data!C925,"-"," ")),""))))</f>
        <v/>
      </c>
      <c r="B925" s="2">
        <f>IF(Data!A925="","",IF(ISNUMBER(Data!D925),Data!D925,IFERROR(DATEVALUE(Data!D925),IFERROR(DATEVALUE(SUBSTITUTE(Data!D925,"-"," ")),""))))</f>
        <v/>
      </c>
      <c r="C925">
        <f>IF(Data!A925="","",IF(AND(A925="",B925=""),"Undated",IF(AND(A925&lt;&gt;"",TODAY()&lt;A925),"Upcoming",IF(AND(B925&lt;&gt;"",TODAY()&gt;B925),"Completed","Active"))))</f>
        <v/>
      </c>
    </row>
    <row r="926">
      <c r="A926" s="2">
        <f>IF(Data!A926="","",IF(ISNUMBER(Data!C926),Data!C926,IFERROR(DATEVALUE(Data!C926),IFERROR(DATEVALUE(SUBSTITUTE(Data!C926,"-"," ")),""))))</f>
        <v/>
      </c>
      <c r="B926" s="2">
        <f>IF(Data!A926="","",IF(ISNUMBER(Data!D926),Data!D926,IFERROR(DATEVALUE(Data!D926),IFERROR(DATEVALUE(SUBSTITUTE(Data!D926,"-"," ")),""))))</f>
        <v/>
      </c>
      <c r="C926">
        <f>IF(Data!A926="","",IF(AND(A926="",B926=""),"Undated",IF(AND(A926&lt;&gt;"",TODAY()&lt;A926),"Upcoming",IF(AND(B926&lt;&gt;"",TODAY()&gt;B926),"Completed","Active"))))</f>
        <v/>
      </c>
    </row>
    <row r="927">
      <c r="A927" s="2">
        <f>IF(Data!A927="","",IF(ISNUMBER(Data!C927),Data!C927,IFERROR(DATEVALUE(Data!C927),IFERROR(DATEVALUE(SUBSTITUTE(Data!C927,"-"," ")),""))))</f>
        <v/>
      </c>
      <c r="B927" s="2">
        <f>IF(Data!A927="","",IF(ISNUMBER(Data!D927),Data!D927,IFERROR(DATEVALUE(Data!D927),IFERROR(DATEVALUE(SUBSTITUTE(Data!D927,"-"," ")),""))))</f>
        <v/>
      </c>
      <c r="C927">
        <f>IF(Data!A927="","",IF(AND(A927="",B927=""),"Undated",IF(AND(A927&lt;&gt;"",TODAY()&lt;A927),"Upcoming",IF(AND(B927&lt;&gt;"",TODAY()&gt;B927),"Completed","Active"))))</f>
        <v/>
      </c>
    </row>
    <row r="928">
      <c r="A928" s="2">
        <f>IF(Data!A928="","",IF(ISNUMBER(Data!C928),Data!C928,IFERROR(DATEVALUE(Data!C928),IFERROR(DATEVALUE(SUBSTITUTE(Data!C928,"-"," ")),""))))</f>
        <v/>
      </c>
      <c r="B928" s="2">
        <f>IF(Data!A928="","",IF(ISNUMBER(Data!D928),Data!D928,IFERROR(DATEVALUE(Data!D928),IFERROR(DATEVALUE(SUBSTITUTE(Data!D928,"-"," ")),""))))</f>
        <v/>
      </c>
      <c r="C928">
        <f>IF(Data!A928="","",IF(AND(A928="",B928=""),"Undated",IF(AND(A928&lt;&gt;"",TODAY()&lt;A928),"Upcoming",IF(AND(B928&lt;&gt;"",TODAY()&gt;B928),"Completed","Active"))))</f>
        <v/>
      </c>
    </row>
    <row r="929">
      <c r="A929" s="2">
        <f>IF(Data!A929="","",IF(ISNUMBER(Data!C929),Data!C929,IFERROR(DATEVALUE(Data!C929),IFERROR(DATEVALUE(SUBSTITUTE(Data!C929,"-"," ")),""))))</f>
        <v/>
      </c>
      <c r="B929" s="2">
        <f>IF(Data!A929="","",IF(ISNUMBER(Data!D929),Data!D929,IFERROR(DATEVALUE(Data!D929),IFERROR(DATEVALUE(SUBSTITUTE(Data!D929,"-"," ")),""))))</f>
        <v/>
      </c>
      <c r="C929">
        <f>IF(Data!A929="","",IF(AND(A929="",B929=""),"Undated",IF(AND(A929&lt;&gt;"",TODAY()&lt;A929),"Upcoming",IF(AND(B929&lt;&gt;"",TODAY()&gt;B929),"Completed","Active"))))</f>
        <v/>
      </c>
    </row>
    <row r="930">
      <c r="A930" s="2">
        <f>IF(Data!A930="","",IF(ISNUMBER(Data!C930),Data!C930,IFERROR(DATEVALUE(Data!C930),IFERROR(DATEVALUE(SUBSTITUTE(Data!C930,"-"," ")),""))))</f>
        <v/>
      </c>
      <c r="B930" s="2">
        <f>IF(Data!A930="","",IF(ISNUMBER(Data!D930),Data!D930,IFERROR(DATEVALUE(Data!D930),IFERROR(DATEVALUE(SUBSTITUTE(Data!D930,"-"," ")),""))))</f>
        <v/>
      </c>
      <c r="C930">
        <f>IF(Data!A930="","",IF(AND(A930="",B930=""),"Undated",IF(AND(A930&lt;&gt;"",TODAY()&lt;A930),"Upcoming",IF(AND(B930&lt;&gt;"",TODAY()&gt;B930),"Completed","Active"))))</f>
        <v/>
      </c>
    </row>
    <row r="931">
      <c r="A931" s="2">
        <f>IF(Data!A931="","",IF(ISNUMBER(Data!C931),Data!C931,IFERROR(DATEVALUE(Data!C931),IFERROR(DATEVALUE(SUBSTITUTE(Data!C931,"-"," ")),""))))</f>
        <v/>
      </c>
      <c r="B931" s="2">
        <f>IF(Data!A931="","",IF(ISNUMBER(Data!D931),Data!D931,IFERROR(DATEVALUE(Data!D931),IFERROR(DATEVALUE(SUBSTITUTE(Data!D931,"-"," ")),""))))</f>
        <v/>
      </c>
      <c r="C931">
        <f>IF(Data!A931="","",IF(AND(A931="",B931=""),"Undated",IF(AND(A931&lt;&gt;"",TODAY()&lt;A931),"Upcoming",IF(AND(B931&lt;&gt;"",TODAY()&gt;B931),"Completed","Active"))))</f>
        <v/>
      </c>
    </row>
    <row r="932">
      <c r="A932" s="2">
        <f>IF(Data!A932="","",IF(ISNUMBER(Data!C932),Data!C932,IFERROR(DATEVALUE(Data!C932),IFERROR(DATEVALUE(SUBSTITUTE(Data!C932,"-"," ")),""))))</f>
        <v/>
      </c>
      <c r="B932" s="2">
        <f>IF(Data!A932="","",IF(ISNUMBER(Data!D932),Data!D932,IFERROR(DATEVALUE(Data!D932),IFERROR(DATEVALUE(SUBSTITUTE(Data!D932,"-"," ")),""))))</f>
        <v/>
      </c>
      <c r="C932">
        <f>IF(Data!A932="","",IF(AND(A932="",B932=""),"Undated",IF(AND(A932&lt;&gt;"",TODAY()&lt;A932),"Upcoming",IF(AND(B932&lt;&gt;"",TODAY()&gt;B932),"Completed","Active"))))</f>
        <v/>
      </c>
    </row>
    <row r="933">
      <c r="A933" s="2">
        <f>IF(Data!A933="","",IF(ISNUMBER(Data!C933),Data!C933,IFERROR(DATEVALUE(Data!C933),IFERROR(DATEVALUE(SUBSTITUTE(Data!C933,"-"," ")),""))))</f>
        <v/>
      </c>
      <c r="B933" s="2">
        <f>IF(Data!A933="","",IF(ISNUMBER(Data!D933),Data!D933,IFERROR(DATEVALUE(Data!D933),IFERROR(DATEVALUE(SUBSTITUTE(Data!D933,"-"," ")),""))))</f>
        <v/>
      </c>
      <c r="C933">
        <f>IF(Data!A933="","",IF(AND(A933="",B933=""),"Undated",IF(AND(A933&lt;&gt;"",TODAY()&lt;A933),"Upcoming",IF(AND(B933&lt;&gt;"",TODAY()&gt;B933),"Completed","Active"))))</f>
        <v/>
      </c>
    </row>
    <row r="934">
      <c r="A934" s="2">
        <f>IF(Data!A934="","",IF(ISNUMBER(Data!C934),Data!C934,IFERROR(DATEVALUE(Data!C934),IFERROR(DATEVALUE(SUBSTITUTE(Data!C934,"-"," ")),""))))</f>
        <v/>
      </c>
      <c r="B934" s="2">
        <f>IF(Data!A934="","",IF(ISNUMBER(Data!D934),Data!D934,IFERROR(DATEVALUE(Data!D934),IFERROR(DATEVALUE(SUBSTITUTE(Data!D934,"-"," ")),""))))</f>
        <v/>
      </c>
      <c r="C934">
        <f>IF(Data!A934="","",IF(AND(A934="",B934=""),"Undated",IF(AND(A934&lt;&gt;"",TODAY()&lt;A934),"Upcoming",IF(AND(B934&lt;&gt;"",TODAY()&gt;B934),"Completed","Active"))))</f>
        <v/>
      </c>
    </row>
    <row r="935">
      <c r="A935" s="2">
        <f>IF(Data!A935="","",IF(ISNUMBER(Data!C935),Data!C935,IFERROR(DATEVALUE(Data!C935),IFERROR(DATEVALUE(SUBSTITUTE(Data!C935,"-"," ")),""))))</f>
        <v/>
      </c>
      <c r="B935" s="2">
        <f>IF(Data!A935="","",IF(ISNUMBER(Data!D935),Data!D935,IFERROR(DATEVALUE(Data!D935),IFERROR(DATEVALUE(SUBSTITUTE(Data!D935,"-"," ")),""))))</f>
        <v/>
      </c>
      <c r="C935">
        <f>IF(Data!A935="","",IF(AND(A935="",B935=""),"Undated",IF(AND(A935&lt;&gt;"",TODAY()&lt;A935),"Upcoming",IF(AND(B935&lt;&gt;"",TODAY()&gt;B935),"Completed","Active"))))</f>
        <v/>
      </c>
    </row>
    <row r="936">
      <c r="A936" s="2">
        <f>IF(Data!A936="","",IF(ISNUMBER(Data!C936),Data!C936,IFERROR(DATEVALUE(Data!C936),IFERROR(DATEVALUE(SUBSTITUTE(Data!C936,"-"," ")),""))))</f>
        <v/>
      </c>
      <c r="B936" s="2">
        <f>IF(Data!A936="","",IF(ISNUMBER(Data!D936),Data!D936,IFERROR(DATEVALUE(Data!D936),IFERROR(DATEVALUE(SUBSTITUTE(Data!D936,"-"," ")),""))))</f>
        <v/>
      </c>
      <c r="C936">
        <f>IF(Data!A936="","",IF(AND(A936="",B936=""),"Undated",IF(AND(A936&lt;&gt;"",TODAY()&lt;A936),"Upcoming",IF(AND(B936&lt;&gt;"",TODAY()&gt;B936),"Completed","Active"))))</f>
        <v/>
      </c>
    </row>
    <row r="937">
      <c r="A937" s="2">
        <f>IF(Data!A937="","",IF(ISNUMBER(Data!C937),Data!C937,IFERROR(DATEVALUE(Data!C937),IFERROR(DATEVALUE(SUBSTITUTE(Data!C937,"-"," ")),""))))</f>
        <v/>
      </c>
      <c r="B937" s="2">
        <f>IF(Data!A937="","",IF(ISNUMBER(Data!D937),Data!D937,IFERROR(DATEVALUE(Data!D937),IFERROR(DATEVALUE(SUBSTITUTE(Data!D937,"-"," ")),""))))</f>
        <v/>
      </c>
      <c r="C937">
        <f>IF(Data!A937="","",IF(AND(A937="",B937=""),"Undated",IF(AND(A937&lt;&gt;"",TODAY()&lt;A937),"Upcoming",IF(AND(B937&lt;&gt;"",TODAY()&gt;B937),"Completed","Active"))))</f>
        <v/>
      </c>
    </row>
    <row r="938">
      <c r="A938" s="2">
        <f>IF(Data!A938="","",IF(ISNUMBER(Data!C938),Data!C938,IFERROR(DATEVALUE(Data!C938),IFERROR(DATEVALUE(SUBSTITUTE(Data!C938,"-"," ")),""))))</f>
        <v/>
      </c>
      <c r="B938" s="2">
        <f>IF(Data!A938="","",IF(ISNUMBER(Data!D938),Data!D938,IFERROR(DATEVALUE(Data!D938),IFERROR(DATEVALUE(SUBSTITUTE(Data!D938,"-"," ")),""))))</f>
        <v/>
      </c>
      <c r="C938">
        <f>IF(Data!A938="","",IF(AND(A938="",B938=""),"Undated",IF(AND(A938&lt;&gt;"",TODAY()&lt;A938),"Upcoming",IF(AND(B938&lt;&gt;"",TODAY()&gt;B938),"Completed","Active"))))</f>
        <v/>
      </c>
    </row>
    <row r="939">
      <c r="A939" s="2">
        <f>IF(Data!A939="","",IF(ISNUMBER(Data!C939),Data!C939,IFERROR(DATEVALUE(Data!C939),IFERROR(DATEVALUE(SUBSTITUTE(Data!C939,"-"," ")),""))))</f>
        <v/>
      </c>
      <c r="B939" s="2">
        <f>IF(Data!A939="","",IF(ISNUMBER(Data!D939),Data!D939,IFERROR(DATEVALUE(Data!D939),IFERROR(DATEVALUE(SUBSTITUTE(Data!D939,"-"," ")),""))))</f>
        <v/>
      </c>
      <c r="C939">
        <f>IF(Data!A939="","",IF(AND(A939="",B939=""),"Undated",IF(AND(A939&lt;&gt;"",TODAY()&lt;A939),"Upcoming",IF(AND(B939&lt;&gt;"",TODAY()&gt;B939),"Completed","Active"))))</f>
        <v/>
      </c>
    </row>
    <row r="940">
      <c r="A940" s="2">
        <f>IF(Data!A940="","",IF(ISNUMBER(Data!C940),Data!C940,IFERROR(DATEVALUE(Data!C940),IFERROR(DATEVALUE(SUBSTITUTE(Data!C940,"-"," ")),""))))</f>
        <v/>
      </c>
      <c r="B940" s="2">
        <f>IF(Data!A940="","",IF(ISNUMBER(Data!D940),Data!D940,IFERROR(DATEVALUE(Data!D940),IFERROR(DATEVALUE(SUBSTITUTE(Data!D940,"-"," ")),""))))</f>
        <v/>
      </c>
      <c r="C940">
        <f>IF(Data!A940="","",IF(AND(A940="",B940=""),"Undated",IF(AND(A940&lt;&gt;"",TODAY()&lt;A940),"Upcoming",IF(AND(B940&lt;&gt;"",TODAY()&gt;B940),"Completed","Active"))))</f>
        <v/>
      </c>
    </row>
    <row r="941">
      <c r="A941" s="2">
        <f>IF(Data!A941="","",IF(ISNUMBER(Data!C941),Data!C941,IFERROR(DATEVALUE(Data!C941),IFERROR(DATEVALUE(SUBSTITUTE(Data!C941,"-"," ")),""))))</f>
        <v/>
      </c>
      <c r="B941" s="2">
        <f>IF(Data!A941="","",IF(ISNUMBER(Data!D941),Data!D941,IFERROR(DATEVALUE(Data!D941),IFERROR(DATEVALUE(SUBSTITUTE(Data!D941,"-"," ")),""))))</f>
        <v/>
      </c>
      <c r="C941">
        <f>IF(Data!A941="","",IF(AND(A941="",B941=""),"Undated",IF(AND(A941&lt;&gt;"",TODAY()&lt;A941),"Upcoming",IF(AND(B941&lt;&gt;"",TODAY()&gt;B941),"Completed","Active"))))</f>
        <v/>
      </c>
    </row>
    <row r="942">
      <c r="A942" s="2">
        <f>IF(Data!A942="","",IF(ISNUMBER(Data!C942),Data!C942,IFERROR(DATEVALUE(Data!C942),IFERROR(DATEVALUE(SUBSTITUTE(Data!C942,"-"," ")),""))))</f>
        <v/>
      </c>
      <c r="B942" s="2">
        <f>IF(Data!A942="","",IF(ISNUMBER(Data!D942),Data!D942,IFERROR(DATEVALUE(Data!D942),IFERROR(DATEVALUE(SUBSTITUTE(Data!D942,"-"," ")),""))))</f>
        <v/>
      </c>
      <c r="C942">
        <f>IF(Data!A942="","",IF(AND(A942="",B942=""),"Undated",IF(AND(A942&lt;&gt;"",TODAY()&lt;A942),"Upcoming",IF(AND(B942&lt;&gt;"",TODAY()&gt;B942),"Completed","Active"))))</f>
        <v/>
      </c>
    </row>
    <row r="943">
      <c r="A943" s="2">
        <f>IF(Data!A943="","",IF(ISNUMBER(Data!C943),Data!C943,IFERROR(DATEVALUE(Data!C943),IFERROR(DATEVALUE(SUBSTITUTE(Data!C943,"-"," ")),""))))</f>
        <v/>
      </c>
      <c r="B943" s="2">
        <f>IF(Data!A943="","",IF(ISNUMBER(Data!D943),Data!D943,IFERROR(DATEVALUE(Data!D943),IFERROR(DATEVALUE(SUBSTITUTE(Data!D943,"-"," ")),""))))</f>
        <v/>
      </c>
      <c r="C943">
        <f>IF(Data!A943="","",IF(AND(A943="",B943=""),"Undated",IF(AND(A943&lt;&gt;"",TODAY()&lt;A943),"Upcoming",IF(AND(B943&lt;&gt;"",TODAY()&gt;B943),"Completed","Active"))))</f>
        <v/>
      </c>
    </row>
    <row r="944">
      <c r="A944" s="2">
        <f>IF(Data!A944="","",IF(ISNUMBER(Data!C944),Data!C944,IFERROR(DATEVALUE(Data!C944),IFERROR(DATEVALUE(SUBSTITUTE(Data!C944,"-"," ")),""))))</f>
        <v/>
      </c>
      <c r="B944" s="2">
        <f>IF(Data!A944="","",IF(ISNUMBER(Data!D944),Data!D944,IFERROR(DATEVALUE(Data!D944),IFERROR(DATEVALUE(SUBSTITUTE(Data!D944,"-"," ")),""))))</f>
        <v/>
      </c>
      <c r="C944">
        <f>IF(Data!A944="","",IF(AND(A944="",B944=""),"Undated",IF(AND(A944&lt;&gt;"",TODAY()&lt;A944),"Upcoming",IF(AND(B944&lt;&gt;"",TODAY()&gt;B944),"Completed","Active"))))</f>
        <v/>
      </c>
    </row>
    <row r="945">
      <c r="A945" s="2">
        <f>IF(Data!A945="","",IF(ISNUMBER(Data!C945),Data!C945,IFERROR(DATEVALUE(Data!C945),IFERROR(DATEVALUE(SUBSTITUTE(Data!C945,"-"," ")),""))))</f>
        <v/>
      </c>
      <c r="B945" s="2">
        <f>IF(Data!A945="","",IF(ISNUMBER(Data!D945),Data!D945,IFERROR(DATEVALUE(Data!D945),IFERROR(DATEVALUE(SUBSTITUTE(Data!D945,"-"," ")),""))))</f>
        <v/>
      </c>
      <c r="C945">
        <f>IF(Data!A945="","",IF(AND(A945="",B945=""),"Undated",IF(AND(A945&lt;&gt;"",TODAY()&lt;A945),"Upcoming",IF(AND(B945&lt;&gt;"",TODAY()&gt;B945),"Completed","Active"))))</f>
        <v/>
      </c>
    </row>
    <row r="946">
      <c r="A946" s="2">
        <f>IF(Data!A946="","",IF(ISNUMBER(Data!C946),Data!C946,IFERROR(DATEVALUE(Data!C946),IFERROR(DATEVALUE(SUBSTITUTE(Data!C946,"-"," ")),""))))</f>
        <v/>
      </c>
      <c r="B946" s="2">
        <f>IF(Data!A946="","",IF(ISNUMBER(Data!D946),Data!D946,IFERROR(DATEVALUE(Data!D946),IFERROR(DATEVALUE(SUBSTITUTE(Data!D946,"-"," ")),""))))</f>
        <v/>
      </c>
      <c r="C946">
        <f>IF(Data!A946="","",IF(AND(A946="",B946=""),"Undated",IF(AND(A946&lt;&gt;"",TODAY()&lt;A946),"Upcoming",IF(AND(B946&lt;&gt;"",TODAY()&gt;B946),"Completed","Active"))))</f>
        <v/>
      </c>
    </row>
    <row r="947">
      <c r="A947" s="2">
        <f>IF(Data!A947="","",IF(ISNUMBER(Data!C947),Data!C947,IFERROR(DATEVALUE(Data!C947),IFERROR(DATEVALUE(SUBSTITUTE(Data!C947,"-"," ")),""))))</f>
        <v/>
      </c>
      <c r="B947" s="2">
        <f>IF(Data!A947="","",IF(ISNUMBER(Data!D947),Data!D947,IFERROR(DATEVALUE(Data!D947),IFERROR(DATEVALUE(SUBSTITUTE(Data!D947,"-"," ")),""))))</f>
        <v/>
      </c>
      <c r="C947">
        <f>IF(Data!A947="","",IF(AND(A947="",B947=""),"Undated",IF(AND(A947&lt;&gt;"",TODAY()&lt;A947),"Upcoming",IF(AND(B947&lt;&gt;"",TODAY()&gt;B947),"Completed","Active"))))</f>
        <v/>
      </c>
    </row>
    <row r="948">
      <c r="A948" s="2">
        <f>IF(Data!A948="","",IF(ISNUMBER(Data!C948),Data!C948,IFERROR(DATEVALUE(Data!C948),IFERROR(DATEVALUE(SUBSTITUTE(Data!C948,"-"," ")),""))))</f>
        <v/>
      </c>
      <c r="B948" s="2">
        <f>IF(Data!A948="","",IF(ISNUMBER(Data!D948),Data!D948,IFERROR(DATEVALUE(Data!D948),IFERROR(DATEVALUE(SUBSTITUTE(Data!D948,"-"," ")),""))))</f>
        <v/>
      </c>
      <c r="C948">
        <f>IF(Data!A948="","",IF(AND(A948="",B948=""),"Undated",IF(AND(A948&lt;&gt;"",TODAY()&lt;A948),"Upcoming",IF(AND(B948&lt;&gt;"",TODAY()&gt;B948),"Completed","Active"))))</f>
        <v/>
      </c>
    </row>
    <row r="949">
      <c r="A949" s="2">
        <f>IF(Data!A949="","",IF(ISNUMBER(Data!C949),Data!C949,IFERROR(DATEVALUE(Data!C949),IFERROR(DATEVALUE(SUBSTITUTE(Data!C949,"-"," ")),""))))</f>
        <v/>
      </c>
      <c r="B949" s="2">
        <f>IF(Data!A949="","",IF(ISNUMBER(Data!D949),Data!D949,IFERROR(DATEVALUE(Data!D949),IFERROR(DATEVALUE(SUBSTITUTE(Data!D949,"-"," ")),""))))</f>
        <v/>
      </c>
      <c r="C949">
        <f>IF(Data!A949="","",IF(AND(A949="",B949=""),"Undated",IF(AND(A949&lt;&gt;"",TODAY()&lt;A949),"Upcoming",IF(AND(B949&lt;&gt;"",TODAY()&gt;B949),"Completed","Active"))))</f>
        <v/>
      </c>
    </row>
    <row r="950">
      <c r="A950" s="2">
        <f>IF(Data!A950="","",IF(ISNUMBER(Data!C950),Data!C950,IFERROR(DATEVALUE(Data!C950),IFERROR(DATEVALUE(SUBSTITUTE(Data!C950,"-"," ")),""))))</f>
        <v/>
      </c>
      <c r="B950" s="2">
        <f>IF(Data!A950="","",IF(ISNUMBER(Data!D950),Data!D950,IFERROR(DATEVALUE(Data!D950),IFERROR(DATEVALUE(SUBSTITUTE(Data!D950,"-"," ")),""))))</f>
        <v/>
      </c>
      <c r="C950">
        <f>IF(Data!A950="","",IF(AND(A950="",B950=""),"Undated",IF(AND(A950&lt;&gt;"",TODAY()&lt;A950),"Upcoming",IF(AND(B950&lt;&gt;"",TODAY()&gt;B950),"Completed","Active"))))</f>
        <v/>
      </c>
    </row>
    <row r="951">
      <c r="A951" s="2">
        <f>IF(Data!A951="","",IF(ISNUMBER(Data!C951),Data!C951,IFERROR(DATEVALUE(Data!C951),IFERROR(DATEVALUE(SUBSTITUTE(Data!C951,"-"," ")),""))))</f>
        <v/>
      </c>
      <c r="B951" s="2">
        <f>IF(Data!A951="","",IF(ISNUMBER(Data!D951),Data!D951,IFERROR(DATEVALUE(Data!D951),IFERROR(DATEVALUE(SUBSTITUTE(Data!D951,"-"," ")),""))))</f>
        <v/>
      </c>
      <c r="C951">
        <f>IF(Data!A951="","",IF(AND(A951="",B951=""),"Undated",IF(AND(A951&lt;&gt;"",TODAY()&lt;A951),"Upcoming",IF(AND(B951&lt;&gt;"",TODAY()&gt;B951),"Completed","Active"))))</f>
        <v/>
      </c>
    </row>
    <row r="952">
      <c r="A952" s="2">
        <f>IF(Data!A952="","",IF(ISNUMBER(Data!C952),Data!C952,IFERROR(DATEVALUE(Data!C952),IFERROR(DATEVALUE(SUBSTITUTE(Data!C952,"-"," ")),""))))</f>
        <v/>
      </c>
      <c r="B952" s="2">
        <f>IF(Data!A952="","",IF(ISNUMBER(Data!D952),Data!D952,IFERROR(DATEVALUE(Data!D952),IFERROR(DATEVALUE(SUBSTITUTE(Data!D952,"-"," ")),""))))</f>
        <v/>
      </c>
      <c r="C952">
        <f>IF(Data!A952="","",IF(AND(A952="",B952=""),"Undated",IF(AND(A952&lt;&gt;"",TODAY()&lt;A952),"Upcoming",IF(AND(B952&lt;&gt;"",TODAY()&gt;B952),"Completed","Active"))))</f>
        <v/>
      </c>
    </row>
    <row r="953">
      <c r="A953" s="2">
        <f>IF(Data!A953="","",IF(ISNUMBER(Data!C953),Data!C953,IFERROR(DATEVALUE(Data!C953),IFERROR(DATEVALUE(SUBSTITUTE(Data!C953,"-"," ")),""))))</f>
        <v/>
      </c>
      <c r="B953" s="2">
        <f>IF(Data!A953="","",IF(ISNUMBER(Data!D953),Data!D953,IFERROR(DATEVALUE(Data!D953),IFERROR(DATEVALUE(SUBSTITUTE(Data!D953,"-"," ")),""))))</f>
        <v/>
      </c>
      <c r="C953">
        <f>IF(Data!A953="","",IF(AND(A953="",B953=""),"Undated",IF(AND(A953&lt;&gt;"",TODAY()&lt;A953),"Upcoming",IF(AND(B953&lt;&gt;"",TODAY()&gt;B953),"Completed","Active"))))</f>
        <v/>
      </c>
    </row>
    <row r="954">
      <c r="A954" s="2">
        <f>IF(Data!A954="","",IF(ISNUMBER(Data!C954),Data!C954,IFERROR(DATEVALUE(Data!C954),IFERROR(DATEVALUE(SUBSTITUTE(Data!C954,"-"," ")),""))))</f>
        <v/>
      </c>
      <c r="B954" s="2">
        <f>IF(Data!A954="","",IF(ISNUMBER(Data!D954),Data!D954,IFERROR(DATEVALUE(Data!D954),IFERROR(DATEVALUE(SUBSTITUTE(Data!D954,"-"," ")),""))))</f>
        <v/>
      </c>
      <c r="C954">
        <f>IF(Data!A954="","",IF(AND(A954="",B954=""),"Undated",IF(AND(A954&lt;&gt;"",TODAY()&lt;A954),"Upcoming",IF(AND(B954&lt;&gt;"",TODAY()&gt;B954),"Completed","Active"))))</f>
        <v/>
      </c>
    </row>
    <row r="955">
      <c r="A955" s="2">
        <f>IF(Data!A955="","",IF(ISNUMBER(Data!C955),Data!C955,IFERROR(DATEVALUE(Data!C955),IFERROR(DATEVALUE(SUBSTITUTE(Data!C955,"-"," ")),""))))</f>
        <v/>
      </c>
      <c r="B955" s="2">
        <f>IF(Data!A955="","",IF(ISNUMBER(Data!D955),Data!D955,IFERROR(DATEVALUE(Data!D955),IFERROR(DATEVALUE(SUBSTITUTE(Data!D955,"-"," ")),""))))</f>
        <v/>
      </c>
      <c r="C955">
        <f>IF(Data!A955="","",IF(AND(A955="",B955=""),"Undated",IF(AND(A955&lt;&gt;"",TODAY()&lt;A955),"Upcoming",IF(AND(B955&lt;&gt;"",TODAY()&gt;B955),"Completed","Active"))))</f>
        <v/>
      </c>
    </row>
    <row r="956">
      <c r="A956" s="2">
        <f>IF(Data!A956="","",IF(ISNUMBER(Data!C956),Data!C956,IFERROR(DATEVALUE(Data!C956),IFERROR(DATEVALUE(SUBSTITUTE(Data!C956,"-"," ")),""))))</f>
        <v/>
      </c>
      <c r="B956" s="2">
        <f>IF(Data!A956="","",IF(ISNUMBER(Data!D956),Data!D956,IFERROR(DATEVALUE(Data!D956),IFERROR(DATEVALUE(SUBSTITUTE(Data!D956,"-"," ")),""))))</f>
        <v/>
      </c>
      <c r="C956">
        <f>IF(Data!A956="","",IF(AND(A956="",B956=""),"Undated",IF(AND(A956&lt;&gt;"",TODAY()&lt;A956),"Upcoming",IF(AND(B956&lt;&gt;"",TODAY()&gt;B956),"Completed","Active"))))</f>
        <v/>
      </c>
    </row>
    <row r="957">
      <c r="A957" s="2">
        <f>IF(Data!A957="","",IF(ISNUMBER(Data!C957),Data!C957,IFERROR(DATEVALUE(Data!C957),IFERROR(DATEVALUE(SUBSTITUTE(Data!C957,"-"," ")),""))))</f>
        <v/>
      </c>
      <c r="B957" s="2">
        <f>IF(Data!A957="","",IF(ISNUMBER(Data!D957),Data!D957,IFERROR(DATEVALUE(Data!D957),IFERROR(DATEVALUE(SUBSTITUTE(Data!D957,"-"," ")),""))))</f>
        <v/>
      </c>
      <c r="C957">
        <f>IF(Data!A957="","",IF(AND(A957="",B957=""),"Undated",IF(AND(A957&lt;&gt;"",TODAY()&lt;A957),"Upcoming",IF(AND(B957&lt;&gt;"",TODAY()&gt;B957),"Completed","Active"))))</f>
        <v/>
      </c>
    </row>
    <row r="958">
      <c r="A958" s="2">
        <f>IF(Data!A958="","",IF(ISNUMBER(Data!C958),Data!C958,IFERROR(DATEVALUE(Data!C958),IFERROR(DATEVALUE(SUBSTITUTE(Data!C958,"-"," ")),""))))</f>
        <v/>
      </c>
      <c r="B958" s="2">
        <f>IF(Data!A958="","",IF(ISNUMBER(Data!D958),Data!D958,IFERROR(DATEVALUE(Data!D958),IFERROR(DATEVALUE(SUBSTITUTE(Data!D958,"-"," ")),""))))</f>
        <v/>
      </c>
      <c r="C958">
        <f>IF(Data!A958="","",IF(AND(A958="",B958=""),"Undated",IF(AND(A958&lt;&gt;"",TODAY()&lt;A958),"Upcoming",IF(AND(B958&lt;&gt;"",TODAY()&gt;B958),"Completed","Active"))))</f>
        <v/>
      </c>
    </row>
    <row r="959">
      <c r="A959" s="2">
        <f>IF(Data!A959="","",IF(ISNUMBER(Data!C959),Data!C959,IFERROR(DATEVALUE(Data!C959),IFERROR(DATEVALUE(SUBSTITUTE(Data!C959,"-"," ")),""))))</f>
        <v/>
      </c>
      <c r="B959" s="2">
        <f>IF(Data!A959="","",IF(ISNUMBER(Data!D959),Data!D959,IFERROR(DATEVALUE(Data!D959),IFERROR(DATEVALUE(SUBSTITUTE(Data!D959,"-"," ")),""))))</f>
        <v/>
      </c>
      <c r="C959">
        <f>IF(Data!A959="","",IF(AND(A959="",B959=""),"Undated",IF(AND(A959&lt;&gt;"",TODAY()&lt;A959),"Upcoming",IF(AND(B959&lt;&gt;"",TODAY()&gt;B959),"Completed","Active"))))</f>
        <v/>
      </c>
    </row>
    <row r="960">
      <c r="A960" s="2">
        <f>IF(Data!A960="","",IF(ISNUMBER(Data!C960),Data!C960,IFERROR(DATEVALUE(Data!C960),IFERROR(DATEVALUE(SUBSTITUTE(Data!C960,"-"," ")),""))))</f>
        <v/>
      </c>
      <c r="B960" s="2">
        <f>IF(Data!A960="","",IF(ISNUMBER(Data!D960),Data!D960,IFERROR(DATEVALUE(Data!D960),IFERROR(DATEVALUE(SUBSTITUTE(Data!D960,"-"," ")),""))))</f>
        <v/>
      </c>
      <c r="C960">
        <f>IF(Data!A960="","",IF(AND(A960="",B960=""),"Undated",IF(AND(A960&lt;&gt;"",TODAY()&lt;A960),"Upcoming",IF(AND(B960&lt;&gt;"",TODAY()&gt;B960),"Completed","Active"))))</f>
        <v/>
      </c>
    </row>
    <row r="961">
      <c r="A961" s="2">
        <f>IF(Data!A961="","",IF(ISNUMBER(Data!C961),Data!C961,IFERROR(DATEVALUE(Data!C961),IFERROR(DATEVALUE(SUBSTITUTE(Data!C961,"-"," ")),""))))</f>
        <v/>
      </c>
      <c r="B961" s="2">
        <f>IF(Data!A961="","",IF(ISNUMBER(Data!D961),Data!D961,IFERROR(DATEVALUE(Data!D961),IFERROR(DATEVALUE(SUBSTITUTE(Data!D961,"-"," ")),""))))</f>
        <v/>
      </c>
      <c r="C961">
        <f>IF(Data!A961="","",IF(AND(A961="",B961=""),"Undated",IF(AND(A961&lt;&gt;"",TODAY()&lt;A961),"Upcoming",IF(AND(B961&lt;&gt;"",TODAY()&gt;B961),"Completed","Active"))))</f>
        <v/>
      </c>
    </row>
    <row r="962">
      <c r="A962" s="2">
        <f>IF(Data!A962="","",IF(ISNUMBER(Data!C962),Data!C962,IFERROR(DATEVALUE(Data!C962),IFERROR(DATEVALUE(SUBSTITUTE(Data!C962,"-"," ")),""))))</f>
        <v/>
      </c>
      <c r="B962" s="2">
        <f>IF(Data!A962="","",IF(ISNUMBER(Data!D962),Data!D962,IFERROR(DATEVALUE(Data!D962),IFERROR(DATEVALUE(SUBSTITUTE(Data!D962,"-"," ")),""))))</f>
        <v/>
      </c>
      <c r="C962">
        <f>IF(Data!A962="","",IF(AND(A962="",B962=""),"Undated",IF(AND(A962&lt;&gt;"",TODAY()&lt;A962),"Upcoming",IF(AND(B962&lt;&gt;"",TODAY()&gt;B962),"Completed","Active"))))</f>
        <v/>
      </c>
    </row>
    <row r="963">
      <c r="A963" s="2">
        <f>IF(Data!A963="","",IF(ISNUMBER(Data!C963),Data!C963,IFERROR(DATEVALUE(Data!C963),IFERROR(DATEVALUE(SUBSTITUTE(Data!C963,"-"," ")),""))))</f>
        <v/>
      </c>
      <c r="B963" s="2">
        <f>IF(Data!A963="","",IF(ISNUMBER(Data!D963),Data!D963,IFERROR(DATEVALUE(Data!D963),IFERROR(DATEVALUE(SUBSTITUTE(Data!D963,"-"," ")),""))))</f>
        <v/>
      </c>
      <c r="C963">
        <f>IF(Data!A963="","",IF(AND(A963="",B963=""),"Undated",IF(AND(A963&lt;&gt;"",TODAY()&lt;A963),"Upcoming",IF(AND(B963&lt;&gt;"",TODAY()&gt;B963),"Completed","Active"))))</f>
        <v/>
      </c>
    </row>
    <row r="964">
      <c r="A964" s="2">
        <f>IF(Data!A964="","",IF(ISNUMBER(Data!C964),Data!C964,IFERROR(DATEVALUE(Data!C964),IFERROR(DATEVALUE(SUBSTITUTE(Data!C964,"-"," ")),""))))</f>
        <v/>
      </c>
      <c r="B964" s="2">
        <f>IF(Data!A964="","",IF(ISNUMBER(Data!D964),Data!D964,IFERROR(DATEVALUE(Data!D964),IFERROR(DATEVALUE(SUBSTITUTE(Data!D964,"-"," ")),""))))</f>
        <v/>
      </c>
      <c r="C964">
        <f>IF(Data!A964="","",IF(AND(A964="",B964=""),"Undated",IF(AND(A964&lt;&gt;"",TODAY()&lt;A964),"Upcoming",IF(AND(B964&lt;&gt;"",TODAY()&gt;B964),"Completed","Active"))))</f>
        <v/>
      </c>
    </row>
    <row r="965">
      <c r="A965" s="2">
        <f>IF(Data!A965="","",IF(ISNUMBER(Data!C965),Data!C965,IFERROR(DATEVALUE(Data!C965),IFERROR(DATEVALUE(SUBSTITUTE(Data!C965,"-"," ")),""))))</f>
        <v/>
      </c>
      <c r="B965" s="2">
        <f>IF(Data!A965="","",IF(ISNUMBER(Data!D965),Data!D965,IFERROR(DATEVALUE(Data!D965),IFERROR(DATEVALUE(SUBSTITUTE(Data!D965,"-"," ")),""))))</f>
        <v/>
      </c>
      <c r="C965">
        <f>IF(Data!A965="","",IF(AND(A965="",B965=""),"Undated",IF(AND(A965&lt;&gt;"",TODAY()&lt;A965),"Upcoming",IF(AND(B965&lt;&gt;"",TODAY()&gt;B965),"Completed","Active"))))</f>
        <v/>
      </c>
    </row>
    <row r="966">
      <c r="A966" s="2">
        <f>IF(Data!A966="","",IF(ISNUMBER(Data!C966),Data!C966,IFERROR(DATEVALUE(Data!C966),IFERROR(DATEVALUE(SUBSTITUTE(Data!C966,"-"," ")),""))))</f>
        <v/>
      </c>
      <c r="B966" s="2">
        <f>IF(Data!A966="","",IF(ISNUMBER(Data!D966),Data!D966,IFERROR(DATEVALUE(Data!D966),IFERROR(DATEVALUE(SUBSTITUTE(Data!D966,"-"," ")),""))))</f>
        <v/>
      </c>
      <c r="C966">
        <f>IF(Data!A966="","",IF(AND(A966="",B966=""),"Undated",IF(AND(A966&lt;&gt;"",TODAY()&lt;A966),"Upcoming",IF(AND(B966&lt;&gt;"",TODAY()&gt;B966),"Completed","Active"))))</f>
        <v/>
      </c>
    </row>
    <row r="967">
      <c r="A967" s="2">
        <f>IF(Data!A967="","",IF(ISNUMBER(Data!C967),Data!C967,IFERROR(DATEVALUE(Data!C967),IFERROR(DATEVALUE(SUBSTITUTE(Data!C967,"-"," ")),""))))</f>
        <v/>
      </c>
      <c r="B967" s="2">
        <f>IF(Data!A967="","",IF(ISNUMBER(Data!D967),Data!D967,IFERROR(DATEVALUE(Data!D967),IFERROR(DATEVALUE(SUBSTITUTE(Data!D967,"-"," ")),""))))</f>
        <v/>
      </c>
      <c r="C967">
        <f>IF(Data!A967="","",IF(AND(A967="",B967=""),"Undated",IF(AND(A967&lt;&gt;"",TODAY()&lt;A967),"Upcoming",IF(AND(B967&lt;&gt;"",TODAY()&gt;B967),"Completed","Active"))))</f>
        <v/>
      </c>
    </row>
    <row r="968">
      <c r="A968" s="2">
        <f>IF(Data!A968="","",IF(ISNUMBER(Data!C968),Data!C968,IFERROR(DATEVALUE(Data!C968),IFERROR(DATEVALUE(SUBSTITUTE(Data!C968,"-"," ")),""))))</f>
        <v/>
      </c>
      <c r="B968" s="2">
        <f>IF(Data!A968="","",IF(ISNUMBER(Data!D968),Data!D968,IFERROR(DATEVALUE(Data!D968),IFERROR(DATEVALUE(SUBSTITUTE(Data!D968,"-"," ")),""))))</f>
        <v/>
      </c>
      <c r="C968">
        <f>IF(Data!A968="","",IF(AND(A968="",B968=""),"Undated",IF(AND(A968&lt;&gt;"",TODAY()&lt;A968),"Upcoming",IF(AND(B968&lt;&gt;"",TODAY()&gt;B968),"Completed","Active"))))</f>
        <v/>
      </c>
    </row>
    <row r="969">
      <c r="A969" s="2">
        <f>IF(Data!A969="","",IF(ISNUMBER(Data!C969),Data!C969,IFERROR(DATEVALUE(Data!C969),IFERROR(DATEVALUE(SUBSTITUTE(Data!C969,"-"," ")),""))))</f>
        <v/>
      </c>
      <c r="B969" s="2">
        <f>IF(Data!A969="","",IF(ISNUMBER(Data!D969),Data!D969,IFERROR(DATEVALUE(Data!D969),IFERROR(DATEVALUE(SUBSTITUTE(Data!D969,"-"," ")),""))))</f>
        <v/>
      </c>
      <c r="C969">
        <f>IF(Data!A969="","",IF(AND(A969="",B969=""),"Undated",IF(AND(A969&lt;&gt;"",TODAY()&lt;A969),"Upcoming",IF(AND(B969&lt;&gt;"",TODAY()&gt;B969),"Completed","Active"))))</f>
        <v/>
      </c>
    </row>
    <row r="970">
      <c r="A970" s="2">
        <f>IF(Data!A970="","",IF(ISNUMBER(Data!C970),Data!C970,IFERROR(DATEVALUE(Data!C970),IFERROR(DATEVALUE(SUBSTITUTE(Data!C970,"-"," ")),""))))</f>
        <v/>
      </c>
      <c r="B970" s="2">
        <f>IF(Data!A970="","",IF(ISNUMBER(Data!D970),Data!D970,IFERROR(DATEVALUE(Data!D970),IFERROR(DATEVALUE(SUBSTITUTE(Data!D970,"-"," ")),""))))</f>
        <v/>
      </c>
      <c r="C970">
        <f>IF(Data!A970="","",IF(AND(A970="",B970=""),"Undated",IF(AND(A970&lt;&gt;"",TODAY()&lt;A970),"Upcoming",IF(AND(B970&lt;&gt;"",TODAY()&gt;B970),"Completed","Active"))))</f>
        <v/>
      </c>
    </row>
    <row r="971">
      <c r="A971" s="2">
        <f>IF(Data!A971="","",IF(ISNUMBER(Data!C971),Data!C971,IFERROR(DATEVALUE(Data!C971),IFERROR(DATEVALUE(SUBSTITUTE(Data!C971,"-"," ")),""))))</f>
        <v/>
      </c>
      <c r="B971" s="2">
        <f>IF(Data!A971="","",IF(ISNUMBER(Data!D971),Data!D971,IFERROR(DATEVALUE(Data!D971),IFERROR(DATEVALUE(SUBSTITUTE(Data!D971,"-"," ")),""))))</f>
        <v/>
      </c>
      <c r="C971">
        <f>IF(Data!A971="","",IF(AND(A971="",B971=""),"Undated",IF(AND(A971&lt;&gt;"",TODAY()&lt;A971),"Upcoming",IF(AND(B971&lt;&gt;"",TODAY()&gt;B971),"Completed","Active"))))</f>
        <v/>
      </c>
    </row>
    <row r="972">
      <c r="A972" s="2">
        <f>IF(Data!A972="","",IF(ISNUMBER(Data!C972),Data!C972,IFERROR(DATEVALUE(Data!C972),IFERROR(DATEVALUE(SUBSTITUTE(Data!C972,"-"," ")),""))))</f>
        <v/>
      </c>
      <c r="B972" s="2">
        <f>IF(Data!A972="","",IF(ISNUMBER(Data!D972),Data!D972,IFERROR(DATEVALUE(Data!D972),IFERROR(DATEVALUE(SUBSTITUTE(Data!D972,"-"," ")),""))))</f>
        <v/>
      </c>
      <c r="C972">
        <f>IF(Data!A972="","",IF(AND(A972="",B972=""),"Undated",IF(AND(A972&lt;&gt;"",TODAY()&lt;A972),"Upcoming",IF(AND(B972&lt;&gt;"",TODAY()&gt;B972),"Completed","Active"))))</f>
        <v/>
      </c>
    </row>
    <row r="973">
      <c r="A973" s="2">
        <f>IF(Data!A973="","",IF(ISNUMBER(Data!C973),Data!C973,IFERROR(DATEVALUE(Data!C973),IFERROR(DATEVALUE(SUBSTITUTE(Data!C973,"-"," ")),""))))</f>
        <v/>
      </c>
      <c r="B973" s="2">
        <f>IF(Data!A973="","",IF(ISNUMBER(Data!D973),Data!D973,IFERROR(DATEVALUE(Data!D973),IFERROR(DATEVALUE(SUBSTITUTE(Data!D973,"-"," ")),""))))</f>
        <v/>
      </c>
      <c r="C973">
        <f>IF(Data!A973="","",IF(AND(A973="",B973=""),"Undated",IF(AND(A973&lt;&gt;"",TODAY()&lt;A973),"Upcoming",IF(AND(B973&lt;&gt;"",TODAY()&gt;B973),"Completed","Active"))))</f>
        <v/>
      </c>
    </row>
    <row r="974">
      <c r="A974" s="2">
        <f>IF(Data!A974="","",IF(ISNUMBER(Data!C974),Data!C974,IFERROR(DATEVALUE(Data!C974),IFERROR(DATEVALUE(SUBSTITUTE(Data!C974,"-"," ")),""))))</f>
        <v/>
      </c>
      <c r="B974" s="2">
        <f>IF(Data!A974="","",IF(ISNUMBER(Data!D974),Data!D974,IFERROR(DATEVALUE(Data!D974),IFERROR(DATEVALUE(SUBSTITUTE(Data!D974,"-"," ")),""))))</f>
        <v/>
      </c>
      <c r="C974">
        <f>IF(Data!A974="","",IF(AND(A974="",B974=""),"Undated",IF(AND(A974&lt;&gt;"",TODAY()&lt;A974),"Upcoming",IF(AND(B974&lt;&gt;"",TODAY()&gt;B974),"Completed","Active"))))</f>
        <v/>
      </c>
    </row>
    <row r="975">
      <c r="A975" s="2">
        <f>IF(Data!A975="","",IF(ISNUMBER(Data!C975),Data!C975,IFERROR(DATEVALUE(Data!C975),IFERROR(DATEVALUE(SUBSTITUTE(Data!C975,"-"," ")),""))))</f>
        <v/>
      </c>
      <c r="B975" s="2">
        <f>IF(Data!A975="","",IF(ISNUMBER(Data!D975),Data!D975,IFERROR(DATEVALUE(Data!D975),IFERROR(DATEVALUE(SUBSTITUTE(Data!D975,"-"," ")),""))))</f>
        <v/>
      </c>
      <c r="C975">
        <f>IF(Data!A975="","",IF(AND(A975="",B975=""),"Undated",IF(AND(A975&lt;&gt;"",TODAY()&lt;A975),"Upcoming",IF(AND(B975&lt;&gt;"",TODAY()&gt;B975),"Completed","Active"))))</f>
        <v/>
      </c>
    </row>
    <row r="976">
      <c r="A976" s="2">
        <f>IF(Data!A976="","",IF(ISNUMBER(Data!C976),Data!C976,IFERROR(DATEVALUE(Data!C976),IFERROR(DATEVALUE(SUBSTITUTE(Data!C976,"-"," ")),""))))</f>
        <v/>
      </c>
      <c r="B976" s="2">
        <f>IF(Data!A976="","",IF(ISNUMBER(Data!D976),Data!D976,IFERROR(DATEVALUE(Data!D976),IFERROR(DATEVALUE(SUBSTITUTE(Data!D976,"-"," ")),""))))</f>
        <v/>
      </c>
      <c r="C976">
        <f>IF(Data!A976="","",IF(AND(A976="",B976=""),"Undated",IF(AND(A976&lt;&gt;"",TODAY()&lt;A976),"Upcoming",IF(AND(B976&lt;&gt;"",TODAY()&gt;B976),"Completed","Active"))))</f>
        <v/>
      </c>
    </row>
    <row r="977">
      <c r="A977" s="2">
        <f>IF(Data!A977="","",IF(ISNUMBER(Data!C977),Data!C977,IFERROR(DATEVALUE(Data!C977),IFERROR(DATEVALUE(SUBSTITUTE(Data!C977,"-"," ")),""))))</f>
        <v/>
      </c>
      <c r="B977" s="2">
        <f>IF(Data!A977="","",IF(ISNUMBER(Data!D977),Data!D977,IFERROR(DATEVALUE(Data!D977),IFERROR(DATEVALUE(SUBSTITUTE(Data!D977,"-"," ")),""))))</f>
        <v/>
      </c>
      <c r="C977">
        <f>IF(Data!A977="","",IF(AND(A977="",B977=""),"Undated",IF(AND(A977&lt;&gt;"",TODAY()&lt;A977),"Upcoming",IF(AND(B977&lt;&gt;"",TODAY()&gt;B977),"Completed","Active"))))</f>
        <v/>
      </c>
    </row>
    <row r="978">
      <c r="A978" s="2">
        <f>IF(Data!A978="","",IF(ISNUMBER(Data!C978),Data!C978,IFERROR(DATEVALUE(Data!C978),IFERROR(DATEVALUE(SUBSTITUTE(Data!C978,"-"," ")),""))))</f>
        <v/>
      </c>
      <c r="B978" s="2">
        <f>IF(Data!A978="","",IF(ISNUMBER(Data!D978),Data!D978,IFERROR(DATEVALUE(Data!D978),IFERROR(DATEVALUE(SUBSTITUTE(Data!D978,"-"," ")),""))))</f>
        <v/>
      </c>
      <c r="C978">
        <f>IF(Data!A978="","",IF(AND(A978="",B978=""),"Undated",IF(AND(A978&lt;&gt;"",TODAY()&lt;A978),"Upcoming",IF(AND(B978&lt;&gt;"",TODAY()&gt;B978),"Completed","Active"))))</f>
        <v/>
      </c>
    </row>
    <row r="979">
      <c r="A979" s="2">
        <f>IF(Data!A979="","",IF(ISNUMBER(Data!C979),Data!C979,IFERROR(DATEVALUE(Data!C979),IFERROR(DATEVALUE(SUBSTITUTE(Data!C979,"-"," ")),""))))</f>
        <v/>
      </c>
      <c r="B979" s="2">
        <f>IF(Data!A979="","",IF(ISNUMBER(Data!D979),Data!D979,IFERROR(DATEVALUE(Data!D979),IFERROR(DATEVALUE(SUBSTITUTE(Data!D979,"-"," ")),""))))</f>
        <v/>
      </c>
      <c r="C979">
        <f>IF(Data!A979="","",IF(AND(A979="",B979=""),"Undated",IF(AND(A979&lt;&gt;"",TODAY()&lt;A979),"Upcoming",IF(AND(B979&lt;&gt;"",TODAY()&gt;B979),"Completed","Active"))))</f>
        <v/>
      </c>
    </row>
    <row r="980">
      <c r="A980" s="2">
        <f>IF(Data!A980="","",IF(ISNUMBER(Data!C980),Data!C980,IFERROR(DATEVALUE(Data!C980),IFERROR(DATEVALUE(SUBSTITUTE(Data!C980,"-"," ")),""))))</f>
        <v/>
      </c>
      <c r="B980" s="2">
        <f>IF(Data!A980="","",IF(ISNUMBER(Data!D980),Data!D980,IFERROR(DATEVALUE(Data!D980),IFERROR(DATEVALUE(SUBSTITUTE(Data!D980,"-"," ")),""))))</f>
        <v/>
      </c>
      <c r="C980">
        <f>IF(Data!A980="","",IF(AND(A980="",B980=""),"Undated",IF(AND(A980&lt;&gt;"",TODAY()&lt;A980),"Upcoming",IF(AND(B980&lt;&gt;"",TODAY()&gt;B980),"Completed","Active"))))</f>
        <v/>
      </c>
    </row>
    <row r="981">
      <c r="A981" s="2">
        <f>IF(Data!A981="","",IF(ISNUMBER(Data!C981),Data!C981,IFERROR(DATEVALUE(Data!C981),IFERROR(DATEVALUE(SUBSTITUTE(Data!C981,"-"," ")),""))))</f>
        <v/>
      </c>
      <c r="B981" s="2">
        <f>IF(Data!A981="","",IF(ISNUMBER(Data!D981),Data!D981,IFERROR(DATEVALUE(Data!D981),IFERROR(DATEVALUE(SUBSTITUTE(Data!D981,"-"," ")),""))))</f>
        <v/>
      </c>
      <c r="C981">
        <f>IF(Data!A981="","",IF(AND(A981="",B981=""),"Undated",IF(AND(A981&lt;&gt;"",TODAY()&lt;A981),"Upcoming",IF(AND(B981&lt;&gt;"",TODAY()&gt;B981),"Completed","Active"))))</f>
        <v/>
      </c>
    </row>
    <row r="982">
      <c r="A982" s="2">
        <f>IF(Data!A982="","",IF(ISNUMBER(Data!C982),Data!C982,IFERROR(DATEVALUE(Data!C982),IFERROR(DATEVALUE(SUBSTITUTE(Data!C982,"-"," ")),""))))</f>
        <v/>
      </c>
      <c r="B982" s="2">
        <f>IF(Data!A982="","",IF(ISNUMBER(Data!D982),Data!D982,IFERROR(DATEVALUE(Data!D982),IFERROR(DATEVALUE(SUBSTITUTE(Data!D982,"-"," ")),""))))</f>
        <v/>
      </c>
      <c r="C982">
        <f>IF(Data!A982="","",IF(AND(A982="",B982=""),"Undated",IF(AND(A982&lt;&gt;"",TODAY()&lt;A982),"Upcoming",IF(AND(B982&lt;&gt;"",TODAY()&gt;B982),"Completed","Active"))))</f>
        <v/>
      </c>
    </row>
    <row r="983">
      <c r="A983" s="2">
        <f>IF(Data!A983="","",IF(ISNUMBER(Data!C983),Data!C983,IFERROR(DATEVALUE(Data!C983),IFERROR(DATEVALUE(SUBSTITUTE(Data!C983,"-"," ")),""))))</f>
        <v/>
      </c>
      <c r="B983" s="2">
        <f>IF(Data!A983="","",IF(ISNUMBER(Data!D983),Data!D983,IFERROR(DATEVALUE(Data!D983),IFERROR(DATEVALUE(SUBSTITUTE(Data!D983,"-"," ")),""))))</f>
        <v/>
      </c>
      <c r="C983">
        <f>IF(Data!A983="","",IF(AND(A983="",B983=""),"Undated",IF(AND(A983&lt;&gt;"",TODAY()&lt;A983),"Upcoming",IF(AND(B983&lt;&gt;"",TODAY()&gt;B983),"Completed","Active"))))</f>
        <v/>
      </c>
    </row>
    <row r="984">
      <c r="A984" s="2">
        <f>IF(Data!A984="","",IF(ISNUMBER(Data!C984),Data!C984,IFERROR(DATEVALUE(Data!C984),IFERROR(DATEVALUE(SUBSTITUTE(Data!C984,"-"," ")),""))))</f>
        <v/>
      </c>
      <c r="B984" s="2">
        <f>IF(Data!A984="","",IF(ISNUMBER(Data!D984),Data!D984,IFERROR(DATEVALUE(Data!D984),IFERROR(DATEVALUE(SUBSTITUTE(Data!D984,"-"," ")),""))))</f>
        <v/>
      </c>
      <c r="C984">
        <f>IF(Data!A984="","",IF(AND(A984="",B984=""),"Undated",IF(AND(A984&lt;&gt;"",TODAY()&lt;A984),"Upcoming",IF(AND(B984&lt;&gt;"",TODAY()&gt;B984),"Completed","Active"))))</f>
        <v/>
      </c>
    </row>
    <row r="985">
      <c r="A985" s="2">
        <f>IF(Data!A985="","",IF(ISNUMBER(Data!C985),Data!C985,IFERROR(DATEVALUE(Data!C985),IFERROR(DATEVALUE(SUBSTITUTE(Data!C985,"-"," ")),""))))</f>
        <v/>
      </c>
      <c r="B985" s="2">
        <f>IF(Data!A985="","",IF(ISNUMBER(Data!D985),Data!D985,IFERROR(DATEVALUE(Data!D985),IFERROR(DATEVALUE(SUBSTITUTE(Data!D985,"-"," ")),""))))</f>
        <v/>
      </c>
      <c r="C985">
        <f>IF(Data!A985="","",IF(AND(A985="",B985=""),"Undated",IF(AND(A985&lt;&gt;"",TODAY()&lt;A985),"Upcoming",IF(AND(B985&lt;&gt;"",TODAY()&gt;B985),"Completed","Active"))))</f>
        <v/>
      </c>
    </row>
    <row r="986">
      <c r="A986" s="2">
        <f>IF(Data!A986="","",IF(ISNUMBER(Data!C986),Data!C986,IFERROR(DATEVALUE(Data!C986),IFERROR(DATEVALUE(SUBSTITUTE(Data!C986,"-"," ")),""))))</f>
        <v/>
      </c>
      <c r="B986" s="2">
        <f>IF(Data!A986="","",IF(ISNUMBER(Data!D986),Data!D986,IFERROR(DATEVALUE(Data!D986),IFERROR(DATEVALUE(SUBSTITUTE(Data!D986,"-"," ")),""))))</f>
        <v/>
      </c>
      <c r="C986">
        <f>IF(Data!A986="","",IF(AND(A986="",B986=""),"Undated",IF(AND(A986&lt;&gt;"",TODAY()&lt;A986),"Upcoming",IF(AND(B986&lt;&gt;"",TODAY()&gt;B986),"Completed","Active"))))</f>
        <v/>
      </c>
    </row>
    <row r="987">
      <c r="A987" s="2">
        <f>IF(Data!A987="","",IF(ISNUMBER(Data!C987),Data!C987,IFERROR(DATEVALUE(Data!C987),IFERROR(DATEVALUE(SUBSTITUTE(Data!C987,"-"," ")),""))))</f>
        <v/>
      </c>
      <c r="B987" s="2">
        <f>IF(Data!A987="","",IF(ISNUMBER(Data!D987),Data!D987,IFERROR(DATEVALUE(Data!D987),IFERROR(DATEVALUE(SUBSTITUTE(Data!D987,"-"," ")),""))))</f>
        <v/>
      </c>
      <c r="C987">
        <f>IF(Data!A987="","",IF(AND(A987="",B987=""),"Undated",IF(AND(A987&lt;&gt;"",TODAY()&lt;A987),"Upcoming",IF(AND(B987&lt;&gt;"",TODAY()&gt;B987),"Completed","Active"))))</f>
        <v/>
      </c>
    </row>
    <row r="988">
      <c r="A988" s="2">
        <f>IF(Data!A988="","",IF(ISNUMBER(Data!C988),Data!C988,IFERROR(DATEVALUE(Data!C988),IFERROR(DATEVALUE(SUBSTITUTE(Data!C988,"-"," ")),""))))</f>
        <v/>
      </c>
      <c r="B988" s="2">
        <f>IF(Data!A988="","",IF(ISNUMBER(Data!D988),Data!D988,IFERROR(DATEVALUE(Data!D988),IFERROR(DATEVALUE(SUBSTITUTE(Data!D988,"-"," ")),""))))</f>
        <v/>
      </c>
      <c r="C988">
        <f>IF(Data!A988="","",IF(AND(A988="",B988=""),"Undated",IF(AND(A988&lt;&gt;"",TODAY()&lt;A988),"Upcoming",IF(AND(B988&lt;&gt;"",TODAY()&gt;B988),"Completed","Active"))))</f>
        <v/>
      </c>
    </row>
    <row r="989">
      <c r="A989" s="2">
        <f>IF(Data!A989="","",IF(ISNUMBER(Data!C989),Data!C989,IFERROR(DATEVALUE(Data!C989),IFERROR(DATEVALUE(SUBSTITUTE(Data!C989,"-"," ")),""))))</f>
        <v/>
      </c>
      <c r="B989" s="2">
        <f>IF(Data!A989="","",IF(ISNUMBER(Data!D989),Data!D989,IFERROR(DATEVALUE(Data!D989),IFERROR(DATEVALUE(SUBSTITUTE(Data!D989,"-"," ")),""))))</f>
        <v/>
      </c>
      <c r="C989">
        <f>IF(Data!A989="","",IF(AND(A989="",B989=""),"Undated",IF(AND(A989&lt;&gt;"",TODAY()&lt;A989),"Upcoming",IF(AND(B989&lt;&gt;"",TODAY()&gt;B989),"Completed","Active"))))</f>
        <v/>
      </c>
    </row>
    <row r="990">
      <c r="A990" s="2">
        <f>IF(Data!A990="","",IF(ISNUMBER(Data!C990),Data!C990,IFERROR(DATEVALUE(Data!C990),IFERROR(DATEVALUE(SUBSTITUTE(Data!C990,"-"," ")),""))))</f>
        <v/>
      </c>
      <c r="B990" s="2">
        <f>IF(Data!A990="","",IF(ISNUMBER(Data!D990),Data!D990,IFERROR(DATEVALUE(Data!D990),IFERROR(DATEVALUE(SUBSTITUTE(Data!D990,"-"," ")),""))))</f>
        <v/>
      </c>
      <c r="C990">
        <f>IF(Data!A990="","",IF(AND(A990="",B990=""),"Undated",IF(AND(A990&lt;&gt;"",TODAY()&lt;A990),"Upcoming",IF(AND(B990&lt;&gt;"",TODAY()&gt;B990),"Completed","Active"))))</f>
        <v/>
      </c>
    </row>
    <row r="991">
      <c r="A991" s="2">
        <f>IF(Data!A991="","",IF(ISNUMBER(Data!C991),Data!C991,IFERROR(DATEVALUE(Data!C991),IFERROR(DATEVALUE(SUBSTITUTE(Data!C991,"-"," ")),""))))</f>
        <v/>
      </c>
      <c r="B991" s="2">
        <f>IF(Data!A991="","",IF(ISNUMBER(Data!D991),Data!D991,IFERROR(DATEVALUE(Data!D991),IFERROR(DATEVALUE(SUBSTITUTE(Data!D991,"-"," ")),""))))</f>
        <v/>
      </c>
      <c r="C991">
        <f>IF(Data!A991="","",IF(AND(A991="",B991=""),"Undated",IF(AND(A991&lt;&gt;"",TODAY()&lt;A991),"Upcoming",IF(AND(B991&lt;&gt;"",TODAY()&gt;B991),"Completed","Active"))))</f>
        <v/>
      </c>
    </row>
    <row r="992">
      <c r="A992" s="2">
        <f>IF(Data!A992="","",IF(ISNUMBER(Data!C992),Data!C992,IFERROR(DATEVALUE(Data!C992),IFERROR(DATEVALUE(SUBSTITUTE(Data!C992,"-"," ")),""))))</f>
        <v/>
      </c>
      <c r="B992" s="2">
        <f>IF(Data!A992="","",IF(ISNUMBER(Data!D992),Data!D992,IFERROR(DATEVALUE(Data!D992),IFERROR(DATEVALUE(SUBSTITUTE(Data!D992,"-"," ")),""))))</f>
        <v/>
      </c>
      <c r="C992">
        <f>IF(Data!A992="","",IF(AND(A992="",B992=""),"Undated",IF(AND(A992&lt;&gt;"",TODAY()&lt;A992),"Upcoming",IF(AND(B992&lt;&gt;"",TODAY()&gt;B992),"Completed","Active"))))</f>
        <v/>
      </c>
    </row>
    <row r="993">
      <c r="A993" s="2">
        <f>IF(Data!A993="","",IF(ISNUMBER(Data!C993),Data!C993,IFERROR(DATEVALUE(Data!C993),IFERROR(DATEVALUE(SUBSTITUTE(Data!C993,"-"," ")),""))))</f>
        <v/>
      </c>
      <c r="B993" s="2">
        <f>IF(Data!A993="","",IF(ISNUMBER(Data!D993),Data!D993,IFERROR(DATEVALUE(Data!D993),IFERROR(DATEVALUE(SUBSTITUTE(Data!D993,"-"," ")),""))))</f>
        <v/>
      </c>
      <c r="C993">
        <f>IF(Data!A993="","",IF(AND(A993="",B993=""),"Undated",IF(AND(A993&lt;&gt;"",TODAY()&lt;A993),"Upcoming",IF(AND(B993&lt;&gt;"",TODAY()&gt;B993),"Completed","Active"))))</f>
        <v/>
      </c>
    </row>
    <row r="994">
      <c r="A994" s="2">
        <f>IF(Data!A994="","",IF(ISNUMBER(Data!C994),Data!C994,IFERROR(DATEVALUE(Data!C994),IFERROR(DATEVALUE(SUBSTITUTE(Data!C994,"-"," ")),""))))</f>
        <v/>
      </c>
      <c r="B994" s="2">
        <f>IF(Data!A994="","",IF(ISNUMBER(Data!D994),Data!D994,IFERROR(DATEVALUE(Data!D994),IFERROR(DATEVALUE(SUBSTITUTE(Data!D994,"-"," ")),""))))</f>
        <v/>
      </c>
      <c r="C994">
        <f>IF(Data!A994="","",IF(AND(A994="",B994=""),"Undated",IF(AND(A994&lt;&gt;"",TODAY()&lt;A994),"Upcoming",IF(AND(B994&lt;&gt;"",TODAY()&gt;B994),"Completed","Active"))))</f>
        <v/>
      </c>
    </row>
    <row r="995">
      <c r="A995" s="2">
        <f>IF(Data!A995="","",IF(ISNUMBER(Data!C995),Data!C995,IFERROR(DATEVALUE(Data!C995),IFERROR(DATEVALUE(SUBSTITUTE(Data!C995,"-"," ")),""))))</f>
        <v/>
      </c>
      <c r="B995" s="2">
        <f>IF(Data!A995="","",IF(ISNUMBER(Data!D995),Data!D995,IFERROR(DATEVALUE(Data!D995),IFERROR(DATEVALUE(SUBSTITUTE(Data!D995,"-"," ")),""))))</f>
        <v/>
      </c>
      <c r="C995">
        <f>IF(Data!A995="","",IF(AND(A995="",B995=""),"Undated",IF(AND(A995&lt;&gt;"",TODAY()&lt;A995),"Upcoming",IF(AND(B995&lt;&gt;"",TODAY()&gt;B995),"Completed","Active"))))</f>
        <v/>
      </c>
    </row>
    <row r="996">
      <c r="A996" s="2">
        <f>IF(Data!A996="","",IF(ISNUMBER(Data!C996),Data!C996,IFERROR(DATEVALUE(Data!C996),IFERROR(DATEVALUE(SUBSTITUTE(Data!C996,"-"," ")),""))))</f>
        <v/>
      </c>
      <c r="B996" s="2">
        <f>IF(Data!A996="","",IF(ISNUMBER(Data!D996),Data!D996,IFERROR(DATEVALUE(Data!D996),IFERROR(DATEVALUE(SUBSTITUTE(Data!D996,"-"," ")),""))))</f>
        <v/>
      </c>
      <c r="C996">
        <f>IF(Data!A996="","",IF(AND(A996="",B996=""),"Undated",IF(AND(A996&lt;&gt;"",TODAY()&lt;A996),"Upcoming",IF(AND(B996&lt;&gt;"",TODAY()&gt;B996),"Completed","Active"))))</f>
        <v/>
      </c>
    </row>
    <row r="997">
      <c r="A997" s="2">
        <f>IF(Data!A997="","",IF(ISNUMBER(Data!C997),Data!C997,IFERROR(DATEVALUE(Data!C997),IFERROR(DATEVALUE(SUBSTITUTE(Data!C997,"-"," ")),""))))</f>
        <v/>
      </c>
      <c r="B997" s="2">
        <f>IF(Data!A997="","",IF(ISNUMBER(Data!D997),Data!D997,IFERROR(DATEVALUE(Data!D997),IFERROR(DATEVALUE(SUBSTITUTE(Data!D997,"-"," ")),""))))</f>
        <v/>
      </c>
      <c r="C997">
        <f>IF(Data!A997="","",IF(AND(A997="",B997=""),"Undated",IF(AND(A997&lt;&gt;"",TODAY()&lt;A997),"Upcoming",IF(AND(B997&lt;&gt;"",TODAY()&gt;B997),"Completed","Active"))))</f>
        <v/>
      </c>
    </row>
    <row r="998">
      <c r="A998" s="2">
        <f>IF(Data!A998="","",IF(ISNUMBER(Data!C998),Data!C998,IFERROR(DATEVALUE(Data!C998),IFERROR(DATEVALUE(SUBSTITUTE(Data!C998,"-"," ")),""))))</f>
        <v/>
      </c>
      <c r="B998" s="2">
        <f>IF(Data!A998="","",IF(ISNUMBER(Data!D998),Data!D998,IFERROR(DATEVALUE(Data!D998),IFERROR(DATEVALUE(SUBSTITUTE(Data!D998,"-"," ")),""))))</f>
        <v/>
      </c>
      <c r="C998">
        <f>IF(Data!A998="","",IF(AND(A998="",B998=""),"Undated",IF(AND(A998&lt;&gt;"",TODAY()&lt;A998),"Upcoming",IF(AND(B998&lt;&gt;"",TODAY()&gt;B998),"Completed","Active"))))</f>
        <v/>
      </c>
    </row>
    <row r="999">
      <c r="A999" s="2">
        <f>IF(Data!A999="","",IF(ISNUMBER(Data!C999),Data!C999,IFERROR(DATEVALUE(Data!C999),IFERROR(DATEVALUE(SUBSTITUTE(Data!C999,"-"," ")),""))))</f>
        <v/>
      </c>
      <c r="B999" s="2">
        <f>IF(Data!A999="","",IF(ISNUMBER(Data!D999),Data!D999,IFERROR(DATEVALUE(Data!D999),IFERROR(DATEVALUE(SUBSTITUTE(Data!D999,"-"," ")),""))))</f>
        <v/>
      </c>
      <c r="C999">
        <f>IF(Data!A999="","",IF(AND(A999="",B999=""),"Undated",IF(AND(A999&lt;&gt;"",TODAY()&lt;A999),"Upcoming",IF(AND(B999&lt;&gt;"",TODAY()&gt;B999),"Completed","Active"))))</f>
        <v/>
      </c>
    </row>
    <row r="1000">
      <c r="A1000" s="2">
        <f>IF(Data!A1000="","",IF(ISNUMBER(Data!C1000),Data!C1000,IFERROR(DATEVALUE(Data!C1000),IFERROR(DATEVALUE(SUBSTITUTE(Data!C1000,"-"," ")),""))))</f>
        <v/>
      </c>
      <c r="B1000" s="2">
        <f>IF(Data!A1000="","",IF(ISNUMBER(Data!D1000),Data!D1000,IFERROR(DATEVALUE(Data!D1000),IFERROR(DATEVALUE(SUBSTITUTE(Data!D1000,"-"," ")),""))))</f>
        <v/>
      </c>
      <c r="C1000">
        <f>IF(Data!A1000="","",IF(AND(A1000="",B1000=""),"Undated",IF(AND(A1000&lt;&gt;"",TODAY()&lt;A1000),"Upcoming",IF(AND(B1000&lt;&gt;"",TODAY()&gt;B1000),"Completed","Active"))))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6FED"/>
    <outlinePr summaryBelow="1" summaryRight="1"/>
    <pageSetUpPr/>
  </sheetPr>
  <dimension ref="A1:G6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3" customWidth="1" min="5" max="5"/>
    <col width="20" customWidth="1" min="6" max="6"/>
    <col width="16" customWidth="1" min="7" max="7"/>
  </cols>
  <sheetData>
    <row r="1">
      <c r="A1" s="3" t="inlineStr">
        <is>
          <t>Portfolio Overview</t>
        </is>
      </c>
    </row>
    <row r="2">
      <c r="A2" s="4" t="inlineStr">
        <is>
          <t>Projects, owners and delivery status across departments.</t>
        </is>
      </c>
    </row>
    <row r="4">
      <c r="A4" s="5" t="inlineStr">
        <is>
          <t>Total Projects</t>
        </is>
      </c>
      <c r="B4" s="5" t="inlineStr">
        <is>
          <t>Departments</t>
        </is>
      </c>
      <c r="C4" s="5" t="inlineStr">
        <is>
          <t>Owners</t>
        </is>
      </c>
      <c r="D4" s="5" t="inlineStr">
        <is>
          <t>Active</t>
        </is>
      </c>
      <c r="E4" s="5" t="inlineStr">
        <is>
          <t>Upcoming</t>
        </is>
      </c>
    </row>
    <row r="5">
      <c r="A5" s="6">
        <f>COUNTA(Data!A2:A1000)</f>
        <v/>
      </c>
      <c r="B5" s="7">
        <f>IFERROR(COUNTA(UNIQUE(FILTER(Data!F2:F1000,Data!F2:F1000&lt;&gt;""))),0)</f>
        <v/>
      </c>
      <c r="C5" s="7">
        <f>IFERROR(COUNTA(UNIQUE(FILTER(Data!E2:E1000,Data!E2:E1000&lt;&gt;""))),0)</f>
        <v/>
      </c>
      <c r="D5" s="7">
        <f>COUNTIF(Calc!C2:C1000,"Active")</f>
        <v/>
      </c>
      <c r="E5" s="7">
        <f>COUNTIF(Calc!C2:C1000,"Upcoming")</f>
        <v/>
      </c>
    </row>
    <row r="7">
      <c r="A7" s="3" t="inlineStr">
        <is>
          <t>Departments</t>
        </is>
      </c>
    </row>
    <row r="8">
      <c r="A8" s="4" t="inlineStr">
        <is>
          <t>Portfolio grouped by owning department.</t>
        </is>
      </c>
    </row>
    <row r="9">
      <c r="A9" s="1" t="inlineStr">
        <is>
          <t>Department</t>
        </is>
      </c>
      <c r="B9" s="1" t="inlineStr">
        <is>
          <t>Projects</t>
        </is>
      </c>
      <c r="C9" s="1" t="inlineStr">
        <is>
          <t>Owners</t>
        </is>
      </c>
      <c r="D9" s="1" t="inlineStr">
        <is>
          <t>Active</t>
        </is>
      </c>
      <c r="E9" s="1" t="inlineStr">
        <is>
          <t>Of Portfolio</t>
        </is>
      </c>
      <c r="F9" s="1" t="inlineStr">
        <is>
          <t>Share</t>
        </is>
      </c>
      <c r="G9" s="1" t="inlineStr">
        <is>
          <t>Earliest Start</t>
        </is>
      </c>
    </row>
    <row r="10">
      <c r="A10" s="8">
        <f>IFERROR(SORT(UNIQUE(FILTER(Data!$F$2:$F$1000,Data!$F$2:$F$1000&lt;&gt;""))),"")</f>
        <v/>
      </c>
      <c r="B10" s="9">
        <f>IF($A10="","",COUNTIF(Data!$F$2:$F$1000,$A10))</f>
        <v/>
      </c>
      <c r="C10" s="9">
        <f>IF($A10="","",LET(k,(Data!$F$2:$F$1000=$A10)*(Data!$E$2:$E$1000&lt;&gt;""),IF(SUM(k)=0,0,COUNTA(UNIQUE(FILTER(Data!$E$2:$E$1000,k))))))</f>
        <v/>
      </c>
      <c r="D10" s="9">
        <f>IF($A10="","",COUNTIFS(Data!$F$2:$F$1000,$A10,Calc!$C$2:$C$1000,"Active"))</f>
        <v/>
      </c>
      <c r="E10" s="10">
        <f>IF($A10="","",IFERROR($B10/$A$5,0))</f>
        <v/>
      </c>
      <c r="F10" s="11">
        <f>IF($A10="","",REPT("|",ROUND($E10*24,0)))</f>
        <v/>
      </c>
      <c r="G10" s="12">
        <f>IF($A10="","",LET(v,MINIFS(Calc!$A$2:$A$1000,Data!$F$2:$F$1000,$A10,Calc!$A$2:$A$1000,"&lt;&gt;"),IF(v=0,"",v)))</f>
        <v/>
      </c>
    </row>
    <row r="11">
      <c r="A11" s="8" t="n"/>
      <c r="B11" s="9">
        <f>IF($A11="","",COUNTIF(Data!$F$2:$F$1000,$A11))</f>
        <v/>
      </c>
      <c r="C11" s="9">
        <f>IF($A11="","",LET(k,(Data!$F$2:$F$1000=$A11)*(Data!$E$2:$E$1000&lt;&gt;""),IF(SUM(k)=0,0,COUNTA(UNIQUE(FILTER(Data!$E$2:$E$1000,k))))))</f>
        <v/>
      </c>
      <c r="D11" s="9">
        <f>IF($A11="","",COUNTIFS(Data!$F$2:$F$1000,$A11,Calc!$C$2:$C$1000,"Active"))</f>
        <v/>
      </c>
      <c r="E11" s="10">
        <f>IF($A11="","",IFERROR($B11/$A$5,0))</f>
        <v/>
      </c>
      <c r="F11" s="11">
        <f>IF($A11="","",REPT("|",ROUND($E11*24,0)))</f>
        <v/>
      </c>
      <c r="G11" s="12">
        <f>IF($A11="","",LET(v,MINIFS(Calc!$A$2:$A$1000,Data!$F$2:$F$1000,$A11,Calc!$A$2:$A$1000,"&lt;&gt;"),IF(v=0,"",v)))</f>
        <v/>
      </c>
    </row>
    <row r="12">
      <c r="A12" s="8" t="n"/>
      <c r="B12" s="9">
        <f>IF($A12="","",COUNTIF(Data!$F$2:$F$1000,$A12))</f>
        <v/>
      </c>
      <c r="C12" s="9">
        <f>IF($A12="","",LET(k,(Data!$F$2:$F$1000=$A12)*(Data!$E$2:$E$1000&lt;&gt;""),IF(SUM(k)=0,0,COUNTA(UNIQUE(FILTER(Data!$E$2:$E$1000,k))))))</f>
        <v/>
      </c>
      <c r="D12" s="9">
        <f>IF($A12="","",COUNTIFS(Data!$F$2:$F$1000,$A12,Calc!$C$2:$C$1000,"Active"))</f>
        <v/>
      </c>
      <c r="E12" s="10">
        <f>IF($A12="","",IFERROR($B12/$A$5,0))</f>
        <v/>
      </c>
      <c r="F12" s="11">
        <f>IF($A12="","",REPT("|",ROUND($E12*24,0)))</f>
        <v/>
      </c>
      <c r="G12" s="12">
        <f>IF($A12="","",LET(v,MINIFS(Calc!$A$2:$A$1000,Data!$F$2:$F$1000,$A12,Calc!$A$2:$A$1000,"&lt;&gt;"),IF(v=0,"",v)))</f>
        <v/>
      </c>
    </row>
    <row r="13">
      <c r="A13" s="8" t="n"/>
      <c r="B13" s="9">
        <f>IF($A13="","",COUNTIF(Data!$F$2:$F$1000,$A13))</f>
        <v/>
      </c>
      <c r="C13" s="9">
        <f>IF($A13="","",LET(k,(Data!$F$2:$F$1000=$A13)*(Data!$E$2:$E$1000&lt;&gt;""),IF(SUM(k)=0,0,COUNTA(UNIQUE(FILTER(Data!$E$2:$E$1000,k))))))</f>
        <v/>
      </c>
      <c r="D13" s="9">
        <f>IF($A13="","",COUNTIFS(Data!$F$2:$F$1000,$A13,Calc!$C$2:$C$1000,"Active"))</f>
        <v/>
      </c>
      <c r="E13" s="10">
        <f>IF($A13="","",IFERROR($B13/$A$5,0))</f>
        <v/>
      </c>
      <c r="F13" s="11">
        <f>IF($A13="","",REPT("|",ROUND($E13*24,0)))</f>
        <v/>
      </c>
      <c r="G13" s="12">
        <f>IF($A13="","",LET(v,MINIFS(Calc!$A$2:$A$1000,Data!$F$2:$F$1000,$A13,Calc!$A$2:$A$1000,"&lt;&gt;"),IF(v=0,"",v)))</f>
        <v/>
      </c>
    </row>
    <row r="14">
      <c r="A14" s="8" t="n"/>
      <c r="B14" s="9">
        <f>IF($A14="","",COUNTIF(Data!$F$2:$F$1000,$A14))</f>
        <v/>
      </c>
      <c r="C14" s="9">
        <f>IF($A14="","",LET(k,(Data!$F$2:$F$1000=$A14)*(Data!$E$2:$E$1000&lt;&gt;""),IF(SUM(k)=0,0,COUNTA(UNIQUE(FILTER(Data!$E$2:$E$1000,k))))))</f>
        <v/>
      </c>
      <c r="D14" s="9">
        <f>IF($A14="","",COUNTIFS(Data!$F$2:$F$1000,$A14,Calc!$C$2:$C$1000,"Active"))</f>
        <v/>
      </c>
      <c r="E14" s="10">
        <f>IF($A14="","",IFERROR($B14/$A$5,0))</f>
        <v/>
      </c>
      <c r="F14" s="11">
        <f>IF($A14="","",REPT("|",ROUND($E14*24,0)))</f>
        <v/>
      </c>
      <c r="G14" s="12">
        <f>IF($A14="","",LET(v,MINIFS(Calc!$A$2:$A$1000,Data!$F$2:$F$1000,$A14,Calc!$A$2:$A$1000,"&lt;&gt;"),IF(v=0,"",v)))</f>
        <v/>
      </c>
    </row>
    <row r="15">
      <c r="A15" s="8" t="n"/>
      <c r="B15" s="9">
        <f>IF($A15="","",COUNTIF(Data!$F$2:$F$1000,$A15))</f>
        <v/>
      </c>
      <c r="C15" s="9">
        <f>IF($A15="","",LET(k,(Data!$F$2:$F$1000=$A15)*(Data!$E$2:$E$1000&lt;&gt;""),IF(SUM(k)=0,0,COUNTA(UNIQUE(FILTER(Data!$E$2:$E$1000,k))))))</f>
        <v/>
      </c>
      <c r="D15" s="9">
        <f>IF($A15="","",COUNTIFS(Data!$F$2:$F$1000,$A15,Calc!$C$2:$C$1000,"Active"))</f>
        <v/>
      </c>
      <c r="E15" s="10">
        <f>IF($A15="","",IFERROR($B15/$A$5,0))</f>
        <v/>
      </c>
      <c r="F15" s="11">
        <f>IF($A15="","",REPT("|",ROUND($E15*24,0)))</f>
        <v/>
      </c>
      <c r="G15" s="12">
        <f>IF($A15="","",LET(v,MINIFS(Calc!$A$2:$A$1000,Data!$F$2:$F$1000,$A15,Calc!$A$2:$A$1000,"&lt;&gt;"),IF(v=0,"",v)))</f>
        <v/>
      </c>
    </row>
    <row r="16">
      <c r="A16" s="8" t="n"/>
      <c r="B16" s="9">
        <f>IF($A16="","",COUNTIF(Data!$F$2:$F$1000,$A16))</f>
        <v/>
      </c>
      <c r="C16" s="9">
        <f>IF($A16="","",LET(k,(Data!$F$2:$F$1000=$A16)*(Data!$E$2:$E$1000&lt;&gt;""),IF(SUM(k)=0,0,COUNTA(UNIQUE(FILTER(Data!$E$2:$E$1000,k))))))</f>
        <v/>
      </c>
      <c r="D16" s="9">
        <f>IF($A16="","",COUNTIFS(Data!$F$2:$F$1000,$A16,Calc!$C$2:$C$1000,"Active"))</f>
        <v/>
      </c>
      <c r="E16" s="10">
        <f>IF($A16="","",IFERROR($B16/$A$5,0))</f>
        <v/>
      </c>
      <c r="F16" s="11">
        <f>IF($A16="","",REPT("|",ROUND($E16*24,0)))</f>
        <v/>
      </c>
      <c r="G16" s="12">
        <f>IF($A16="","",LET(v,MINIFS(Calc!$A$2:$A$1000,Data!$F$2:$F$1000,$A16,Calc!$A$2:$A$1000,"&lt;&gt;"),IF(v=0,"",v)))</f>
        <v/>
      </c>
    </row>
    <row r="17">
      <c r="A17" s="8" t="n"/>
      <c r="B17" s="9">
        <f>IF($A17="","",COUNTIF(Data!$F$2:$F$1000,$A17))</f>
        <v/>
      </c>
      <c r="C17" s="9">
        <f>IF($A17="","",LET(k,(Data!$F$2:$F$1000=$A17)*(Data!$E$2:$E$1000&lt;&gt;""),IF(SUM(k)=0,0,COUNTA(UNIQUE(FILTER(Data!$E$2:$E$1000,k))))))</f>
        <v/>
      </c>
      <c r="D17" s="9">
        <f>IF($A17="","",COUNTIFS(Data!$F$2:$F$1000,$A17,Calc!$C$2:$C$1000,"Active"))</f>
        <v/>
      </c>
      <c r="E17" s="10">
        <f>IF($A17="","",IFERROR($B17/$A$5,0))</f>
        <v/>
      </c>
      <c r="F17" s="11">
        <f>IF($A17="","",REPT("|",ROUND($E17*24,0)))</f>
        <v/>
      </c>
      <c r="G17" s="12">
        <f>IF($A17="","",LET(v,MINIFS(Calc!$A$2:$A$1000,Data!$F$2:$F$1000,$A17,Calc!$A$2:$A$1000,"&lt;&gt;"),IF(v=0,"",v)))</f>
        <v/>
      </c>
    </row>
    <row r="18">
      <c r="A18" s="8" t="n"/>
      <c r="B18" s="9">
        <f>IF($A18="","",COUNTIF(Data!$F$2:$F$1000,$A18))</f>
        <v/>
      </c>
      <c r="C18" s="9">
        <f>IF($A18="","",LET(k,(Data!$F$2:$F$1000=$A18)*(Data!$E$2:$E$1000&lt;&gt;""),IF(SUM(k)=0,0,COUNTA(UNIQUE(FILTER(Data!$E$2:$E$1000,k))))))</f>
        <v/>
      </c>
      <c r="D18" s="9">
        <f>IF($A18="","",COUNTIFS(Data!$F$2:$F$1000,$A18,Calc!$C$2:$C$1000,"Active"))</f>
        <v/>
      </c>
      <c r="E18" s="10">
        <f>IF($A18="","",IFERROR($B18/$A$5,0))</f>
        <v/>
      </c>
      <c r="F18" s="11">
        <f>IF($A18="","",REPT("|",ROUND($E18*24,0)))</f>
        <v/>
      </c>
      <c r="G18" s="12">
        <f>IF($A18="","",LET(v,MINIFS(Calc!$A$2:$A$1000,Data!$F$2:$F$1000,$A18,Calc!$A$2:$A$1000,"&lt;&gt;"),IF(v=0,"",v)))</f>
        <v/>
      </c>
    </row>
    <row r="19">
      <c r="A19" s="8" t="n"/>
      <c r="B19" s="9">
        <f>IF($A19="","",COUNTIF(Data!$F$2:$F$1000,$A19))</f>
        <v/>
      </c>
      <c r="C19" s="9">
        <f>IF($A19="","",LET(k,(Data!$F$2:$F$1000=$A19)*(Data!$E$2:$E$1000&lt;&gt;""),IF(SUM(k)=0,0,COUNTA(UNIQUE(FILTER(Data!$E$2:$E$1000,k))))))</f>
        <v/>
      </c>
      <c r="D19" s="9">
        <f>IF($A19="","",COUNTIFS(Data!$F$2:$F$1000,$A19,Calc!$C$2:$C$1000,"Active"))</f>
        <v/>
      </c>
      <c r="E19" s="10">
        <f>IF($A19="","",IFERROR($B19/$A$5,0))</f>
        <v/>
      </c>
      <c r="F19" s="11">
        <f>IF($A19="","",REPT("|",ROUND($E19*24,0)))</f>
        <v/>
      </c>
      <c r="G19" s="12">
        <f>IF($A19="","",LET(v,MINIFS(Calc!$A$2:$A$1000,Data!$F$2:$F$1000,$A19,Calc!$A$2:$A$1000,"&lt;&gt;"),IF(v=0,"",v)))</f>
        <v/>
      </c>
    </row>
    <row r="20">
      <c r="A20" s="8" t="n"/>
      <c r="B20" s="9">
        <f>IF($A20="","",COUNTIF(Data!$F$2:$F$1000,$A20))</f>
        <v/>
      </c>
      <c r="C20" s="9">
        <f>IF($A20="","",LET(k,(Data!$F$2:$F$1000=$A20)*(Data!$E$2:$E$1000&lt;&gt;""),IF(SUM(k)=0,0,COUNTA(UNIQUE(FILTER(Data!$E$2:$E$1000,k))))))</f>
        <v/>
      </c>
      <c r="D20" s="9">
        <f>IF($A20="","",COUNTIFS(Data!$F$2:$F$1000,$A20,Calc!$C$2:$C$1000,"Active"))</f>
        <v/>
      </c>
      <c r="E20" s="10">
        <f>IF($A20="","",IFERROR($B20/$A$5,0))</f>
        <v/>
      </c>
      <c r="F20" s="11">
        <f>IF($A20="","",REPT("|",ROUND($E20*24,0)))</f>
        <v/>
      </c>
      <c r="G20" s="12">
        <f>IF($A20="","",LET(v,MINIFS(Calc!$A$2:$A$1000,Data!$F$2:$F$1000,$A20,Calc!$A$2:$A$1000,"&lt;&gt;"),IF(v=0,"",v)))</f>
        <v/>
      </c>
    </row>
    <row r="21">
      <c r="A21" s="8" t="n"/>
      <c r="B21" s="9">
        <f>IF($A21="","",COUNTIF(Data!$F$2:$F$1000,$A21))</f>
        <v/>
      </c>
      <c r="C21" s="9">
        <f>IF($A21="","",LET(k,(Data!$F$2:$F$1000=$A21)*(Data!$E$2:$E$1000&lt;&gt;""),IF(SUM(k)=0,0,COUNTA(UNIQUE(FILTER(Data!$E$2:$E$1000,k))))))</f>
        <v/>
      </c>
      <c r="D21" s="9">
        <f>IF($A21="","",COUNTIFS(Data!$F$2:$F$1000,$A21,Calc!$C$2:$C$1000,"Active"))</f>
        <v/>
      </c>
      <c r="E21" s="10">
        <f>IF($A21="","",IFERROR($B21/$A$5,0))</f>
        <v/>
      </c>
      <c r="F21" s="11">
        <f>IF($A21="","",REPT("|",ROUND($E21*24,0)))</f>
        <v/>
      </c>
      <c r="G21" s="12">
        <f>IF($A21="","",LET(v,MINIFS(Calc!$A$2:$A$1000,Data!$F$2:$F$1000,$A21,Calc!$A$2:$A$1000,"&lt;&gt;"),IF(v=0,"",v)))</f>
        <v/>
      </c>
    </row>
    <row r="22">
      <c r="A22" s="8" t="n"/>
      <c r="B22" s="9">
        <f>IF($A22="","",COUNTIF(Data!$F$2:$F$1000,$A22))</f>
        <v/>
      </c>
      <c r="C22" s="9">
        <f>IF($A22="","",LET(k,(Data!$F$2:$F$1000=$A22)*(Data!$E$2:$E$1000&lt;&gt;""),IF(SUM(k)=0,0,COUNTA(UNIQUE(FILTER(Data!$E$2:$E$1000,k))))))</f>
        <v/>
      </c>
      <c r="D22" s="9">
        <f>IF($A22="","",COUNTIFS(Data!$F$2:$F$1000,$A22,Calc!$C$2:$C$1000,"Active"))</f>
        <v/>
      </c>
      <c r="E22" s="10">
        <f>IF($A22="","",IFERROR($B22/$A$5,0))</f>
        <v/>
      </c>
      <c r="F22" s="11">
        <f>IF($A22="","",REPT("|",ROUND($E22*24,0)))</f>
        <v/>
      </c>
      <c r="G22" s="12">
        <f>IF($A22="","",LET(v,MINIFS(Calc!$A$2:$A$1000,Data!$F$2:$F$1000,$A22,Calc!$A$2:$A$1000,"&lt;&gt;"),IF(v=0,"",v)))</f>
        <v/>
      </c>
    </row>
    <row r="23">
      <c r="A23" s="8" t="n"/>
      <c r="B23" s="9">
        <f>IF($A23="","",COUNTIF(Data!$F$2:$F$1000,$A23))</f>
        <v/>
      </c>
      <c r="C23" s="9">
        <f>IF($A23="","",LET(k,(Data!$F$2:$F$1000=$A23)*(Data!$E$2:$E$1000&lt;&gt;""),IF(SUM(k)=0,0,COUNTA(UNIQUE(FILTER(Data!$E$2:$E$1000,k))))))</f>
        <v/>
      </c>
      <c r="D23" s="9">
        <f>IF($A23="","",COUNTIFS(Data!$F$2:$F$1000,$A23,Calc!$C$2:$C$1000,"Active"))</f>
        <v/>
      </c>
      <c r="E23" s="10">
        <f>IF($A23="","",IFERROR($B23/$A$5,0))</f>
        <v/>
      </c>
      <c r="F23" s="11">
        <f>IF($A23="","",REPT("|",ROUND($E23*24,0)))</f>
        <v/>
      </c>
      <c r="G23" s="12">
        <f>IF($A23="","",LET(v,MINIFS(Calc!$A$2:$A$1000,Data!$F$2:$F$1000,$A23,Calc!$A$2:$A$1000,"&lt;&gt;"),IF(v=0,"",v)))</f>
        <v/>
      </c>
    </row>
    <row r="24">
      <c r="A24" s="8" t="n"/>
      <c r="B24" s="9">
        <f>IF($A24="","",COUNTIF(Data!$F$2:$F$1000,$A24))</f>
        <v/>
      </c>
      <c r="C24" s="9">
        <f>IF($A24="","",LET(k,(Data!$F$2:$F$1000=$A24)*(Data!$E$2:$E$1000&lt;&gt;""),IF(SUM(k)=0,0,COUNTA(UNIQUE(FILTER(Data!$E$2:$E$1000,k))))))</f>
        <v/>
      </c>
      <c r="D24" s="9">
        <f>IF($A24="","",COUNTIFS(Data!$F$2:$F$1000,$A24,Calc!$C$2:$C$1000,"Active"))</f>
        <v/>
      </c>
      <c r="E24" s="10">
        <f>IF($A24="","",IFERROR($B24/$A$5,0))</f>
        <v/>
      </c>
      <c r="F24" s="11">
        <f>IF($A24="","",REPT("|",ROUND($E24*24,0)))</f>
        <v/>
      </c>
      <c r="G24" s="12">
        <f>IF($A24="","",LET(v,MINIFS(Calc!$A$2:$A$1000,Data!$F$2:$F$1000,$A24,Calc!$A$2:$A$1000,"&lt;&gt;"),IF(v=0,"",v)))</f>
        <v/>
      </c>
    </row>
    <row r="25">
      <c r="A25" s="8" t="n"/>
      <c r="B25" s="9">
        <f>IF($A25="","",COUNTIF(Data!$F$2:$F$1000,$A25))</f>
        <v/>
      </c>
      <c r="C25" s="9">
        <f>IF($A25="","",LET(k,(Data!$F$2:$F$1000=$A25)*(Data!$E$2:$E$1000&lt;&gt;""),IF(SUM(k)=0,0,COUNTA(UNIQUE(FILTER(Data!$E$2:$E$1000,k))))))</f>
        <v/>
      </c>
      <c r="D25" s="9">
        <f>IF($A25="","",COUNTIFS(Data!$F$2:$F$1000,$A25,Calc!$C$2:$C$1000,"Active"))</f>
        <v/>
      </c>
      <c r="E25" s="10">
        <f>IF($A25="","",IFERROR($B25/$A$5,0))</f>
        <v/>
      </c>
      <c r="F25" s="11">
        <f>IF($A25="","",REPT("|",ROUND($E25*24,0)))</f>
        <v/>
      </c>
      <c r="G25" s="12">
        <f>IF($A25="","",LET(v,MINIFS(Calc!$A$2:$A$1000,Data!$F$2:$F$1000,$A25,Calc!$A$2:$A$1000,"&lt;&gt;"),IF(v=0,"",v)))</f>
        <v/>
      </c>
    </row>
    <row r="26">
      <c r="A26" s="8" t="n"/>
      <c r="B26" s="9">
        <f>IF($A26="","",COUNTIF(Data!$F$2:$F$1000,$A26))</f>
        <v/>
      </c>
      <c r="C26" s="9">
        <f>IF($A26="","",LET(k,(Data!$F$2:$F$1000=$A26)*(Data!$E$2:$E$1000&lt;&gt;""),IF(SUM(k)=0,0,COUNTA(UNIQUE(FILTER(Data!$E$2:$E$1000,k))))))</f>
        <v/>
      </c>
      <c r="D26" s="9">
        <f>IF($A26="","",COUNTIFS(Data!$F$2:$F$1000,$A26,Calc!$C$2:$C$1000,"Active"))</f>
        <v/>
      </c>
      <c r="E26" s="10">
        <f>IF($A26="","",IFERROR($B26/$A$5,0))</f>
        <v/>
      </c>
      <c r="F26" s="11">
        <f>IF($A26="","",REPT("|",ROUND($E26*24,0)))</f>
        <v/>
      </c>
      <c r="G26" s="12">
        <f>IF($A26="","",LET(v,MINIFS(Calc!$A$2:$A$1000,Data!$F$2:$F$1000,$A26,Calc!$A$2:$A$1000,"&lt;&gt;"),IF(v=0,"",v)))</f>
        <v/>
      </c>
    </row>
    <row r="27">
      <c r="A27" s="8" t="n"/>
      <c r="B27" s="9">
        <f>IF($A27="","",COUNTIF(Data!$F$2:$F$1000,$A27))</f>
        <v/>
      </c>
      <c r="C27" s="9">
        <f>IF($A27="","",LET(k,(Data!$F$2:$F$1000=$A27)*(Data!$E$2:$E$1000&lt;&gt;""),IF(SUM(k)=0,0,COUNTA(UNIQUE(FILTER(Data!$E$2:$E$1000,k))))))</f>
        <v/>
      </c>
      <c r="D27" s="9">
        <f>IF($A27="","",COUNTIFS(Data!$F$2:$F$1000,$A27,Calc!$C$2:$C$1000,"Active"))</f>
        <v/>
      </c>
      <c r="E27" s="10">
        <f>IF($A27="","",IFERROR($B27/$A$5,0))</f>
        <v/>
      </c>
      <c r="F27" s="11">
        <f>IF($A27="","",REPT("|",ROUND($E27*24,0)))</f>
        <v/>
      </c>
      <c r="G27" s="12">
        <f>IF($A27="","",LET(v,MINIFS(Calc!$A$2:$A$1000,Data!$F$2:$F$1000,$A27,Calc!$A$2:$A$1000,"&lt;&gt;"),IF(v=0,"",v)))</f>
        <v/>
      </c>
    </row>
    <row r="28">
      <c r="A28" s="8" t="n"/>
      <c r="B28" s="9">
        <f>IF($A28="","",COUNTIF(Data!$F$2:$F$1000,$A28))</f>
        <v/>
      </c>
      <c r="C28" s="9">
        <f>IF($A28="","",LET(k,(Data!$F$2:$F$1000=$A28)*(Data!$E$2:$E$1000&lt;&gt;""),IF(SUM(k)=0,0,COUNTA(UNIQUE(FILTER(Data!$E$2:$E$1000,k))))))</f>
        <v/>
      </c>
      <c r="D28" s="9">
        <f>IF($A28="","",COUNTIFS(Data!$F$2:$F$1000,$A28,Calc!$C$2:$C$1000,"Active"))</f>
        <v/>
      </c>
      <c r="E28" s="10">
        <f>IF($A28="","",IFERROR($B28/$A$5,0))</f>
        <v/>
      </c>
      <c r="F28" s="11">
        <f>IF($A28="","",REPT("|",ROUND($E28*24,0)))</f>
        <v/>
      </c>
      <c r="G28" s="12">
        <f>IF($A28="","",LET(v,MINIFS(Calc!$A$2:$A$1000,Data!$F$2:$F$1000,$A28,Calc!$A$2:$A$1000,"&lt;&gt;"),IF(v=0,"",v)))</f>
        <v/>
      </c>
    </row>
    <row r="29">
      <c r="A29" s="8" t="n"/>
      <c r="B29" s="9">
        <f>IF($A29="","",COUNTIF(Data!$F$2:$F$1000,$A29))</f>
        <v/>
      </c>
      <c r="C29" s="9">
        <f>IF($A29="","",LET(k,(Data!$F$2:$F$1000=$A29)*(Data!$E$2:$E$1000&lt;&gt;""),IF(SUM(k)=0,0,COUNTA(UNIQUE(FILTER(Data!$E$2:$E$1000,k))))))</f>
        <v/>
      </c>
      <c r="D29" s="9">
        <f>IF($A29="","",COUNTIFS(Data!$F$2:$F$1000,$A29,Calc!$C$2:$C$1000,"Active"))</f>
        <v/>
      </c>
      <c r="E29" s="10">
        <f>IF($A29="","",IFERROR($B29/$A$5,0))</f>
        <v/>
      </c>
      <c r="F29" s="11">
        <f>IF($A29="","",REPT("|",ROUND($E29*24,0)))</f>
        <v/>
      </c>
      <c r="G29" s="12">
        <f>IF($A29="","",LET(v,MINIFS(Calc!$A$2:$A$1000,Data!$F$2:$F$1000,$A29,Calc!$A$2:$A$1000,"&lt;&gt;"),IF(v=0,"",v)))</f>
        <v/>
      </c>
    </row>
    <row r="30">
      <c r="A30" s="8" t="n"/>
      <c r="B30" s="9">
        <f>IF($A30="","",COUNTIF(Data!$F$2:$F$1000,$A30))</f>
        <v/>
      </c>
      <c r="C30" s="9">
        <f>IF($A30="","",LET(k,(Data!$F$2:$F$1000=$A30)*(Data!$E$2:$E$1000&lt;&gt;""),IF(SUM(k)=0,0,COUNTA(UNIQUE(FILTER(Data!$E$2:$E$1000,k))))))</f>
        <v/>
      </c>
      <c r="D30" s="9">
        <f>IF($A30="","",COUNTIFS(Data!$F$2:$F$1000,$A30,Calc!$C$2:$C$1000,"Active"))</f>
        <v/>
      </c>
      <c r="E30" s="10">
        <f>IF($A30="","",IFERROR($B30/$A$5,0))</f>
        <v/>
      </c>
      <c r="F30" s="11">
        <f>IF($A30="","",REPT("|",ROUND($E30*24,0)))</f>
        <v/>
      </c>
      <c r="G30" s="12">
        <f>IF($A30="","",LET(v,MINIFS(Calc!$A$2:$A$1000,Data!$F$2:$F$1000,$A30,Calc!$A$2:$A$1000,"&lt;&gt;"),IF(v=0,"",v)))</f>
        <v/>
      </c>
    </row>
    <row r="31">
      <c r="A31" s="8" t="n"/>
      <c r="B31" s="9">
        <f>IF($A31="","",COUNTIF(Data!$F$2:$F$1000,$A31))</f>
        <v/>
      </c>
      <c r="C31" s="9">
        <f>IF($A31="","",LET(k,(Data!$F$2:$F$1000=$A31)*(Data!$E$2:$E$1000&lt;&gt;""),IF(SUM(k)=0,0,COUNTA(UNIQUE(FILTER(Data!$E$2:$E$1000,k))))))</f>
        <v/>
      </c>
      <c r="D31" s="9">
        <f>IF($A31="","",COUNTIFS(Data!$F$2:$F$1000,$A31,Calc!$C$2:$C$1000,"Active"))</f>
        <v/>
      </c>
      <c r="E31" s="10">
        <f>IF($A31="","",IFERROR($B31/$A$5,0))</f>
        <v/>
      </c>
      <c r="F31" s="11">
        <f>IF($A31="","",REPT("|",ROUND($E31*24,0)))</f>
        <v/>
      </c>
      <c r="G31" s="12">
        <f>IF($A31="","",LET(v,MINIFS(Calc!$A$2:$A$1000,Data!$F$2:$F$1000,$A31,Calc!$A$2:$A$1000,"&lt;&gt;"),IF(v=0,"",v)))</f>
        <v/>
      </c>
    </row>
    <row r="32">
      <c r="A32" s="8" t="n"/>
      <c r="B32" s="9">
        <f>IF($A32="","",COUNTIF(Data!$F$2:$F$1000,$A32))</f>
        <v/>
      </c>
      <c r="C32" s="9">
        <f>IF($A32="","",LET(k,(Data!$F$2:$F$1000=$A32)*(Data!$E$2:$E$1000&lt;&gt;""),IF(SUM(k)=0,0,COUNTA(UNIQUE(FILTER(Data!$E$2:$E$1000,k))))))</f>
        <v/>
      </c>
      <c r="D32" s="9">
        <f>IF($A32="","",COUNTIFS(Data!$F$2:$F$1000,$A32,Calc!$C$2:$C$1000,"Active"))</f>
        <v/>
      </c>
      <c r="E32" s="10">
        <f>IF($A32="","",IFERROR($B32/$A$5,0))</f>
        <v/>
      </c>
      <c r="F32" s="11">
        <f>IF($A32="","",REPT("|",ROUND($E32*24,0)))</f>
        <v/>
      </c>
      <c r="G32" s="12">
        <f>IF($A32="","",LET(v,MINIFS(Calc!$A$2:$A$1000,Data!$F$2:$F$1000,$A32,Calc!$A$2:$A$1000,"&lt;&gt;"),IF(v=0,"",v)))</f>
        <v/>
      </c>
    </row>
    <row r="33">
      <c r="A33" s="8" t="n"/>
      <c r="B33" s="9">
        <f>IF($A33="","",COUNTIF(Data!$F$2:$F$1000,$A33))</f>
        <v/>
      </c>
      <c r="C33" s="9">
        <f>IF($A33="","",LET(k,(Data!$F$2:$F$1000=$A33)*(Data!$E$2:$E$1000&lt;&gt;""),IF(SUM(k)=0,0,COUNTA(UNIQUE(FILTER(Data!$E$2:$E$1000,k))))))</f>
        <v/>
      </c>
      <c r="D33" s="9">
        <f>IF($A33="","",COUNTIFS(Data!$F$2:$F$1000,$A33,Calc!$C$2:$C$1000,"Active"))</f>
        <v/>
      </c>
      <c r="E33" s="10">
        <f>IF($A33="","",IFERROR($B33/$A$5,0))</f>
        <v/>
      </c>
      <c r="F33" s="11">
        <f>IF($A33="","",REPT("|",ROUND($E33*24,0)))</f>
        <v/>
      </c>
      <c r="G33" s="12">
        <f>IF($A33="","",LET(v,MINIFS(Calc!$A$2:$A$1000,Data!$F$2:$F$1000,$A33,Calc!$A$2:$A$1000,"&lt;&gt;"),IF(v=0,"",v)))</f>
        <v/>
      </c>
    </row>
    <row r="34">
      <c r="A34" s="8" t="n"/>
      <c r="B34" s="9">
        <f>IF($A34="","",COUNTIF(Data!$F$2:$F$1000,$A34))</f>
        <v/>
      </c>
      <c r="C34" s="9">
        <f>IF($A34="","",LET(k,(Data!$F$2:$F$1000=$A34)*(Data!$E$2:$E$1000&lt;&gt;""),IF(SUM(k)=0,0,COUNTA(UNIQUE(FILTER(Data!$E$2:$E$1000,k))))))</f>
        <v/>
      </c>
      <c r="D34" s="9">
        <f>IF($A34="","",COUNTIFS(Data!$F$2:$F$1000,$A34,Calc!$C$2:$C$1000,"Active"))</f>
        <v/>
      </c>
      <c r="E34" s="10">
        <f>IF($A34="","",IFERROR($B34/$A$5,0))</f>
        <v/>
      </c>
      <c r="F34" s="11">
        <f>IF($A34="","",REPT("|",ROUND($E34*24,0)))</f>
        <v/>
      </c>
      <c r="G34" s="12">
        <f>IF($A34="","",LET(v,MINIFS(Calc!$A$2:$A$1000,Data!$F$2:$F$1000,$A34,Calc!$A$2:$A$1000,"&lt;&gt;"),IF(v=0,"",v)))</f>
        <v/>
      </c>
    </row>
    <row r="35">
      <c r="A35" s="8" t="n"/>
      <c r="B35" s="9">
        <f>IF($A35="","",COUNTIF(Data!$F$2:$F$1000,$A35))</f>
        <v/>
      </c>
      <c r="C35" s="9">
        <f>IF($A35="","",LET(k,(Data!$F$2:$F$1000=$A35)*(Data!$E$2:$E$1000&lt;&gt;""),IF(SUM(k)=0,0,COUNTA(UNIQUE(FILTER(Data!$E$2:$E$1000,k))))))</f>
        <v/>
      </c>
      <c r="D35" s="9">
        <f>IF($A35="","",COUNTIFS(Data!$F$2:$F$1000,$A35,Calc!$C$2:$C$1000,"Active"))</f>
        <v/>
      </c>
      <c r="E35" s="10">
        <f>IF($A35="","",IFERROR($B35/$A$5,0))</f>
        <v/>
      </c>
      <c r="F35" s="11">
        <f>IF($A35="","",REPT("|",ROUND($E35*24,0)))</f>
        <v/>
      </c>
      <c r="G35" s="12">
        <f>IF($A35="","",LET(v,MINIFS(Calc!$A$2:$A$1000,Data!$F$2:$F$1000,$A35,Calc!$A$2:$A$1000,"&lt;&gt;"),IF(v=0,"",v)))</f>
        <v/>
      </c>
    </row>
    <row r="36">
      <c r="A36" s="8" t="n"/>
      <c r="B36" s="9">
        <f>IF($A36="","",COUNTIF(Data!$F$2:$F$1000,$A36))</f>
        <v/>
      </c>
      <c r="C36" s="9">
        <f>IF($A36="","",LET(k,(Data!$F$2:$F$1000=$A36)*(Data!$E$2:$E$1000&lt;&gt;""),IF(SUM(k)=0,0,COUNTA(UNIQUE(FILTER(Data!$E$2:$E$1000,k))))))</f>
        <v/>
      </c>
      <c r="D36" s="9">
        <f>IF($A36="","",COUNTIFS(Data!$F$2:$F$1000,$A36,Calc!$C$2:$C$1000,"Active"))</f>
        <v/>
      </c>
      <c r="E36" s="10">
        <f>IF($A36="","",IFERROR($B36/$A$5,0))</f>
        <v/>
      </c>
      <c r="F36" s="11">
        <f>IF($A36="","",REPT("|",ROUND($E36*24,0)))</f>
        <v/>
      </c>
      <c r="G36" s="12">
        <f>IF($A36="","",LET(v,MINIFS(Calc!$A$2:$A$1000,Data!$F$2:$F$1000,$A36,Calc!$A$2:$A$1000,"&lt;&gt;"),IF(v=0,"",v)))</f>
        <v/>
      </c>
    </row>
    <row r="37">
      <c r="A37" s="8" t="n"/>
      <c r="B37" s="9">
        <f>IF($A37="","",COUNTIF(Data!$F$2:$F$1000,$A37))</f>
        <v/>
      </c>
      <c r="C37" s="9">
        <f>IF($A37="","",LET(k,(Data!$F$2:$F$1000=$A37)*(Data!$E$2:$E$1000&lt;&gt;""),IF(SUM(k)=0,0,COUNTA(UNIQUE(FILTER(Data!$E$2:$E$1000,k))))))</f>
        <v/>
      </c>
      <c r="D37" s="9">
        <f>IF($A37="","",COUNTIFS(Data!$F$2:$F$1000,$A37,Calc!$C$2:$C$1000,"Active"))</f>
        <v/>
      </c>
      <c r="E37" s="10">
        <f>IF($A37="","",IFERROR($B37/$A$5,0))</f>
        <v/>
      </c>
      <c r="F37" s="11">
        <f>IF($A37="","",REPT("|",ROUND($E37*24,0)))</f>
        <v/>
      </c>
      <c r="G37" s="12">
        <f>IF($A37="","",LET(v,MINIFS(Calc!$A$2:$A$1000,Data!$F$2:$F$1000,$A37,Calc!$A$2:$A$1000,"&lt;&gt;"),IF(v=0,"",v)))</f>
        <v/>
      </c>
    </row>
    <row r="38">
      <c r="A38" s="8" t="n"/>
      <c r="B38" s="9">
        <f>IF($A38="","",COUNTIF(Data!$F$2:$F$1000,$A38))</f>
        <v/>
      </c>
      <c r="C38" s="9">
        <f>IF($A38="","",LET(k,(Data!$F$2:$F$1000=$A38)*(Data!$E$2:$E$1000&lt;&gt;""),IF(SUM(k)=0,0,COUNTA(UNIQUE(FILTER(Data!$E$2:$E$1000,k))))))</f>
        <v/>
      </c>
      <c r="D38" s="9">
        <f>IF($A38="","",COUNTIFS(Data!$F$2:$F$1000,$A38,Calc!$C$2:$C$1000,"Active"))</f>
        <v/>
      </c>
      <c r="E38" s="10">
        <f>IF($A38="","",IFERROR($B38/$A$5,0))</f>
        <v/>
      </c>
      <c r="F38" s="11">
        <f>IF($A38="","",REPT("|",ROUND($E38*24,0)))</f>
        <v/>
      </c>
      <c r="G38" s="12">
        <f>IF($A38="","",LET(v,MINIFS(Calc!$A$2:$A$1000,Data!$F$2:$F$1000,$A38,Calc!$A$2:$A$1000,"&lt;&gt;"),IF(v=0,"",v)))</f>
        <v/>
      </c>
    </row>
    <row r="39">
      <c r="A39" s="8" t="n"/>
      <c r="B39" s="9">
        <f>IF($A39="","",COUNTIF(Data!$F$2:$F$1000,$A39))</f>
        <v/>
      </c>
      <c r="C39" s="9">
        <f>IF($A39="","",LET(k,(Data!$F$2:$F$1000=$A39)*(Data!$E$2:$E$1000&lt;&gt;""),IF(SUM(k)=0,0,COUNTA(UNIQUE(FILTER(Data!$E$2:$E$1000,k))))))</f>
        <v/>
      </c>
      <c r="D39" s="9">
        <f>IF($A39="","",COUNTIFS(Data!$F$2:$F$1000,$A39,Calc!$C$2:$C$1000,"Active"))</f>
        <v/>
      </c>
      <c r="E39" s="10">
        <f>IF($A39="","",IFERROR($B39/$A$5,0))</f>
        <v/>
      </c>
      <c r="F39" s="11">
        <f>IF($A39="","",REPT("|",ROUND($E39*24,0)))</f>
        <v/>
      </c>
      <c r="G39" s="12">
        <f>IF($A39="","",LET(v,MINIFS(Calc!$A$2:$A$1000,Data!$F$2:$F$1000,$A39,Calc!$A$2:$A$1000,"&lt;&gt;"),IF(v=0,"",v)))</f>
        <v/>
      </c>
    </row>
    <row r="40">
      <c r="A40" s="8" t="n"/>
      <c r="B40" s="9">
        <f>IF($A40="","",COUNTIF(Data!$F$2:$F$1000,$A40))</f>
        <v/>
      </c>
      <c r="C40" s="9">
        <f>IF($A40="","",LET(k,(Data!$F$2:$F$1000=$A40)*(Data!$E$2:$E$1000&lt;&gt;""),IF(SUM(k)=0,0,COUNTA(UNIQUE(FILTER(Data!$E$2:$E$1000,k))))))</f>
        <v/>
      </c>
      <c r="D40" s="9">
        <f>IF($A40="","",COUNTIFS(Data!$F$2:$F$1000,$A40,Calc!$C$2:$C$1000,"Active"))</f>
        <v/>
      </c>
      <c r="E40" s="10">
        <f>IF($A40="","",IFERROR($B40/$A$5,0))</f>
        <v/>
      </c>
      <c r="F40" s="11">
        <f>IF($A40="","",REPT("|",ROUND($E40*24,0)))</f>
        <v/>
      </c>
      <c r="G40" s="12">
        <f>IF($A40="","",LET(v,MINIFS(Calc!$A$2:$A$1000,Data!$F$2:$F$1000,$A40,Calc!$A$2:$A$1000,"&lt;&gt;"),IF(v=0,"",v)))</f>
        <v/>
      </c>
    </row>
    <row r="41">
      <c r="A41" s="8" t="n"/>
      <c r="B41" s="9">
        <f>IF($A41="","",COUNTIF(Data!$F$2:$F$1000,$A41))</f>
        <v/>
      </c>
      <c r="C41" s="9">
        <f>IF($A41="","",LET(k,(Data!$F$2:$F$1000=$A41)*(Data!$E$2:$E$1000&lt;&gt;""),IF(SUM(k)=0,0,COUNTA(UNIQUE(FILTER(Data!$E$2:$E$1000,k))))))</f>
        <v/>
      </c>
      <c r="D41" s="9">
        <f>IF($A41="","",COUNTIFS(Data!$F$2:$F$1000,$A41,Calc!$C$2:$C$1000,"Active"))</f>
        <v/>
      </c>
      <c r="E41" s="10">
        <f>IF($A41="","",IFERROR($B41/$A$5,0))</f>
        <v/>
      </c>
      <c r="F41" s="11">
        <f>IF($A41="","",REPT("|",ROUND($E41*24,0)))</f>
        <v/>
      </c>
      <c r="G41" s="12">
        <f>IF($A41="","",LET(v,MINIFS(Calc!$A$2:$A$1000,Data!$F$2:$F$1000,$A41,Calc!$A$2:$A$1000,"&lt;&gt;"),IF(v=0,"",v)))</f>
        <v/>
      </c>
    </row>
    <row r="42">
      <c r="A42" s="8" t="n"/>
      <c r="B42" s="9">
        <f>IF($A42="","",COUNTIF(Data!$F$2:$F$1000,$A42))</f>
        <v/>
      </c>
      <c r="C42" s="9">
        <f>IF($A42="","",LET(k,(Data!$F$2:$F$1000=$A42)*(Data!$E$2:$E$1000&lt;&gt;""),IF(SUM(k)=0,0,COUNTA(UNIQUE(FILTER(Data!$E$2:$E$1000,k))))))</f>
        <v/>
      </c>
      <c r="D42" s="9">
        <f>IF($A42="","",COUNTIFS(Data!$F$2:$F$1000,$A42,Calc!$C$2:$C$1000,"Active"))</f>
        <v/>
      </c>
      <c r="E42" s="10">
        <f>IF($A42="","",IFERROR($B42/$A$5,0))</f>
        <v/>
      </c>
      <c r="F42" s="11">
        <f>IF($A42="","",REPT("|",ROUND($E42*24,0)))</f>
        <v/>
      </c>
      <c r="G42" s="12">
        <f>IF($A42="","",LET(v,MINIFS(Calc!$A$2:$A$1000,Data!$F$2:$F$1000,$A42,Calc!$A$2:$A$1000,"&lt;&gt;"),IF(v=0,"",v)))</f>
        <v/>
      </c>
    </row>
    <row r="43">
      <c r="A43" s="8" t="n"/>
      <c r="B43" s="9">
        <f>IF($A43="","",COUNTIF(Data!$F$2:$F$1000,$A43))</f>
        <v/>
      </c>
      <c r="C43" s="9">
        <f>IF($A43="","",LET(k,(Data!$F$2:$F$1000=$A43)*(Data!$E$2:$E$1000&lt;&gt;""),IF(SUM(k)=0,0,COUNTA(UNIQUE(FILTER(Data!$E$2:$E$1000,k))))))</f>
        <v/>
      </c>
      <c r="D43" s="9">
        <f>IF($A43="","",COUNTIFS(Data!$F$2:$F$1000,$A43,Calc!$C$2:$C$1000,"Active"))</f>
        <v/>
      </c>
      <c r="E43" s="10">
        <f>IF($A43="","",IFERROR($B43/$A$5,0))</f>
        <v/>
      </c>
      <c r="F43" s="11">
        <f>IF($A43="","",REPT("|",ROUND($E43*24,0)))</f>
        <v/>
      </c>
      <c r="G43" s="12">
        <f>IF($A43="","",LET(v,MINIFS(Calc!$A$2:$A$1000,Data!$F$2:$F$1000,$A43,Calc!$A$2:$A$1000,"&lt;&gt;"),IF(v=0,"",v)))</f>
        <v/>
      </c>
    </row>
    <row r="44">
      <c r="A44" s="8" t="n"/>
      <c r="B44" s="9">
        <f>IF($A44="","",COUNTIF(Data!$F$2:$F$1000,$A44))</f>
        <v/>
      </c>
      <c r="C44" s="9">
        <f>IF($A44="","",LET(k,(Data!$F$2:$F$1000=$A44)*(Data!$E$2:$E$1000&lt;&gt;""),IF(SUM(k)=0,0,COUNTA(UNIQUE(FILTER(Data!$E$2:$E$1000,k))))))</f>
        <v/>
      </c>
      <c r="D44" s="9">
        <f>IF($A44="","",COUNTIFS(Data!$F$2:$F$1000,$A44,Calc!$C$2:$C$1000,"Active"))</f>
        <v/>
      </c>
      <c r="E44" s="10">
        <f>IF($A44="","",IFERROR($B44/$A$5,0))</f>
        <v/>
      </c>
      <c r="F44" s="11">
        <f>IF($A44="","",REPT("|",ROUND($E44*24,0)))</f>
        <v/>
      </c>
      <c r="G44" s="12">
        <f>IF($A44="","",LET(v,MINIFS(Calc!$A$2:$A$1000,Data!$F$2:$F$1000,$A44,Calc!$A$2:$A$1000,"&lt;&gt;"),IF(v=0,"",v)))</f>
        <v/>
      </c>
    </row>
    <row r="45">
      <c r="A45" s="8" t="n"/>
      <c r="B45" s="9">
        <f>IF($A45="","",COUNTIF(Data!$F$2:$F$1000,$A45))</f>
        <v/>
      </c>
      <c r="C45" s="9">
        <f>IF($A45="","",LET(k,(Data!$F$2:$F$1000=$A45)*(Data!$E$2:$E$1000&lt;&gt;""),IF(SUM(k)=0,0,COUNTA(UNIQUE(FILTER(Data!$E$2:$E$1000,k))))))</f>
        <v/>
      </c>
      <c r="D45" s="9">
        <f>IF($A45="","",COUNTIFS(Data!$F$2:$F$1000,$A45,Calc!$C$2:$C$1000,"Active"))</f>
        <v/>
      </c>
      <c r="E45" s="10">
        <f>IF($A45="","",IFERROR($B45/$A$5,0))</f>
        <v/>
      </c>
      <c r="F45" s="11">
        <f>IF($A45="","",REPT("|",ROUND($E45*24,0)))</f>
        <v/>
      </c>
      <c r="G45" s="12">
        <f>IF($A45="","",LET(v,MINIFS(Calc!$A$2:$A$1000,Data!$F$2:$F$1000,$A45,Calc!$A$2:$A$1000,"&lt;&gt;"),IF(v=0,"",v)))</f>
        <v/>
      </c>
    </row>
    <row r="46">
      <c r="A46" s="8" t="n"/>
      <c r="B46" s="9">
        <f>IF($A46="","",COUNTIF(Data!$F$2:$F$1000,$A46))</f>
        <v/>
      </c>
      <c r="C46" s="9">
        <f>IF($A46="","",LET(k,(Data!$F$2:$F$1000=$A46)*(Data!$E$2:$E$1000&lt;&gt;""),IF(SUM(k)=0,0,COUNTA(UNIQUE(FILTER(Data!$E$2:$E$1000,k))))))</f>
        <v/>
      </c>
      <c r="D46" s="9">
        <f>IF($A46="","",COUNTIFS(Data!$F$2:$F$1000,$A46,Calc!$C$2:$C$1000,"Active"))</f>
        <v/>
      </c>
      <c r="E46" s="10">
        <f>IF($A46="","",IFERROR($B46/$A$5,0))</f>
        <v/>
      </c>
      <c r="F46" s="11">
        <f>IF($A46="","",REPT("|",ROUND($E46*24,0)))</f>
        <v/>
      </c>
      <c r="G46" s="12">
        <f>IF($A46="","",LET(v,MINIFS(Calc!$A$2:$A$1000,Data!$F$2:$F$1000,$A46,Calc!$A$2:$A$1000,"&lt;&gt;"),IF(v=0,"",v)))</f>
        <v/>
      </c>
    </row>
    <row r="47">
      <c r="A47" s="8" t="n"/>
      <c r="B47" s="9">
        <f>IF($A47="","",COUNTIF(Data!$F$2:$F$1000,$A47))</f>
        <v/>
      </c>
      <c r="C47" s="9">
        <f>IF($A47="","",LET(k,(Data!$F$2:$F$1000=$A47)*(Data!$E$2:$E$1000&lt;&gt;""),IF(SUM(k)=0,0,COUNTA(UNIQUE(FILTER(Data!$E$2:$E$1000,k))))))</f>
        <v/>
      </c>
      <c r="D47" s="9">
        <f>IF($A47="","",COUNTIFS(Data!$F$2:$F$1000,$A47,Calc!$C$2:$C$1000,"Active"))</f>
        <v/>
      </c>
      <c r="E47" s="10">
        <f>IF($A47="","",IFERROR($B47/$A$5,0))</f>
        <v/>
      </c>
      <c r="F47" s="11">
        <f>IF($A47="","",REPT("|",ROUND($E47*24,0)))</f>
        <v/>
      </c>
      <c r="G47" s="12">
        <f>IF($A47="","",LET(v,MINIFS(Calc!$A$2:$A$1000,Data!$F$2:$F$1000,$A47,Calc!$A$2:$A$1000,"&lt;&gt;"),IF(v=0,"",v)))</f>
        <v/>
      </c>
    </row>
    <row r="48">
      <c r="A48" s="8" t="n"/>
      <c r="B48" s="9">
        <f>IF($A48="","",COUNTIF(Data!$F$2:$F$1000,$A48))</f>
        <v/>
      </c>
      <c r="C48" s="9">
        <f>IF($A48="","",LET(k,(Data!$F$2:$F$1000=$A48)*(Data!$E$2:$E$1000&lt;&gt;""),IF(SUM(k)=0,0,COUNTA(UNIQUE(FILTER(Data!$E$2:$E$1000,k))))))</f>
        <v/>
      </c>
      <c r="D48" s="9">
        <f>IF($A48="","",COUNTIFS(Data!$F$2:$F$1000,$A48,Calc!$C$2:$C$1000,"Active"))</f>
        <v/>
      </c>
      <c r="E48" s="10">
        <f>IF($A48="","",IFERROR($B48/$A$5,0))</f>
        <v/>
      </c>
      <c r="F48" s="11">
        <f>IF($A48="","",REPT("|",ROUND($E48*24,0)))</f>
        <v/>
      </c>
      <c r="G48" s="12">
        <f>IF($A48="","",LET(v,MINIFS(Calc!$A$2:$A$1000,Data!$F$2:$F$1000,$A48,Calc!$A$2:$A$1000,"&lt;&gt;"),IF(v=0,"",v)))</f>
        <v/>
      </c>
    </row>
    <row r="49">
      <c r="A49" s="8" t="n"/>
      <c r="B49" s="9">
        <f>IF($A49="","",COUNTIF(Data!$F$2:$F$1000,$A49))</f>
        <v/>
      </c>
      <c r="C49" s="9">
        <f>IF($A49="","",LET(k,(Data!$F$2:$F$1000=$A49)*(Data!$E$2:$E$1000&lt;&gt;""),IF(SUM(k)=0,0,COUNTA(UNIQUE(FILTER(Data!$E$2:$E$1000,k))))))</f>
        <v/>
      </c>
      <c r="D49" s="9">
        <f>IF($A49="","",COUNTIFS(Data!$F$2:$F$1000,$A49,Calc!$C$2:$C$1000,"Active"))</f>
        <v/>
      </c>
      <c r="E49" s="10">
        <f>IF($A49="","",IFERROR($B49/$A$5,0))</f>
        <v/>
      </c>
      <c r="F49" s="11">
        <f>IF($A49="","",REPT("|",ROUND($E49*24,0)))</f>
        <v/>
      </c>
      <c r="G49" s="12">
        <f>IF($A49="","",LET(v,MINIFS(Calc!$A$2:$A$1000,Data!$F$2:$F$1000,$A49,Calc!$A$2:$A$1000,"&lt;&gt;"),IF(v=0,"",v)))</f>
        <v/>
      </c>
    </row>
    <row r="50">
      <c r="A50" s="8" t="n"/>
      <c r="B50" s="9">
        <f>IF($A50="","",COUNTIF(Data!$F$2:$F$1000,$A50))</f>
        <v/>
      </c>
      <c r="C50" s="9">
        <f>IF($A50="","",LET(k,(Data!$F$2:$F$1000=$A50)*(Data!$E$2:$E$1000&lt;&gt;""),IF(SUM(k)=0,0,COUNTA(UNIQUE(FILTER(Data!$E$2:$E$1000,k))))))</f>
        <v/>
      </c>
      <c r="D50" s="9">
        <f>IF($A50="","",COUNTIFS(Data!$F$2:$F$1000,$A50,Calc!$C$2:$C$1000,"Active"))</f>
        <v/>
      </c>
      <c r="E50" s="10">
        <f>IF($A50="","",IFERROR($B50/$A$5,0))</f>
        <v/>
      </c>
      <c r="F50" s="11">
        <f>IF($A50="","",REPT("|",ROUND($E50*24,0)))</f>
        <v/>
      </c>
      <c r="G50" s="12">
        <f>IF($A50="","",LET(v,MINIFS(Calc!$A$2:$A$1000,Data!$F$2:$F$1000,$A50,Calc!$A$2:$A$1000,"&lt;&gt;"),IF(v=0,"",v)))</f>
        <v/>
      </c>
    </row>
    <row r="51">
      <c r="A51" s="8" t="n"/>
      <c r="B51" s="9">
        <f>IF($A51="","",COUNTIF(Data!$F$2:$F$1000,$A51))</f>
        <v/>
      </c>
      <c r="C51" s="9">
        <f>IF($A51="","",LET(k,(Data!$F$2:$F$1000=$A51)*(Data!$E$2:$E$1000&lt;&gt;""),IF(SUM(k)=0,0,COUNTA(UNIQUE(FILTER(Data!$E$2:$E$1000,k))))))</f>
        <v/>
      </c>
      <c r="D51" s="9">
        <f>IF($A51="","",COUNTIFS(Data!$F$2:$F$1000,$A51,Calc!$C$2:$C$1000,"Active"))</f>
        <v/>
      </c>
      <c r="E51" s="10">
        <f>IF($A51="","",IFERROR($B51/$A$5,0))</f>
        <v/>
      </c>
      <c r="F51" s="11">
        <f>IF($A51="","",REPT("|",ROUND($E51*24,0)))</f>
        <v/>
      </c>
      <c r="G51" s="12">
        <f>IF($A51="","",LET(v,MINIFS(Calc!$A$2:$A$1000,Data!$F$2:$F$1000,$A51,Calc!$A$2:$A$1000,"&lt;&gt;"),IF(v=0,"",v)))</f>
        <v/>
      </c>
    </row>
    <row r="52">
      <c r="A52" s="8" t="n"/>
      <c r="B52" s="9">
        <f>IF($A52="","",COUNTIF(Data!$F$2:$F$1000,$A52))</f>
        <v/>
      </c>
      <c r="C52" s="9">
        <f>IF($A52="","",LET(k,(Data!$F$2:$F$1000=$A52)*(Data!$E$2:$E$1000&lt;&gt;""),IF(SUM(k)=0,0,COUNTA(UNIQUE(FILTER(Data!$E$2:$E$1000,k))))))</f>
        <v/>
      </c>
      <c r="D52" s="9">
        <f>IF($A52="","",COUNTIFS(Data!$F$2:$F$1000,$A52,Calc!$C$2:$C$1000,"Active"))</f>
        <v/>
      </c>
      <c r="E52" s="10">
        <f>IF($A52="","",IFERROR($B52/$A$5,0))</f>
        <v/>
      </c>
      <c r="F52" s="11">
        <f>IF($A52="","",REPT("|",ROUND($E52*24,0)))</f>
        <v/>
      </c>
      <c r="G52" s="12">
        <f>IF($A52="","",LET(v,MINIFS(Calc!$A$2:$A$1000,Data!$F$2:$F$1000,$A52,Calc!$A$2:$A$1000,"&lt;&gt;"),IF(v=0,"",v)))</f>
        <v/>
      </c>
    </row>
    <row r="53">
      <c r="A53" s="8" t="n"/>
      <c r="B53" s="9">
        <f>IF($A53="","",COUNTIF(Data!$F$2:$F$1000,$A53))</f>
        <v/>
      </c>
      <c r="C53" s="9">
        <f>IF($A53="","",LET(k,(Data!$F$2:$F$1000=$A53)*(Data!$E$2:$E$1000&lt;&gt;""),IF(SUM(k)=0,0,COUNTA(UNIQUE(FILTER(Data!$E$2:$E$1000,k))))))</f>
        <v/>
      </c>
      <c r="D53" s="9">
        <f>IF($A53="","",COUNTIFS(Data!$F$2:$F$1000,$A53,Calc!$C$2:$C$1000,"Active"))</f>
        <v/>
      </c>
      <c r="E53" s="10">
        <f>IF($A53="","",IFERROR($B53/$A$5,0))</f>
        <v/>
      </c>
      <c r="F53" s="11">
        <f>IF($A53="","",REPT("|",ROUND($E53*24,0)))</f>
        <v/>
      </c>
      <c r="G53" s="12">
        <f>IF($A53="","",LET(v,MINIFS(Calc!$A$2:$A$1000,Data!$F$2:$F$1000,$A53,Calc!$A$2:$A$1000,"&lt;&gt;"),IF(v=0,"",v)))</f>
        <v/>
      </c>
    </row>
    <row r="54">
      <c r="A54" s="8" t="n"/>
      <c r="B54" s="9">
        <f>IF($A54="","",COUNTIF(Data!$F$2:$F$1000,$A54))</f>
        <v/>
      </c>
      <c r="C54" s="9">
        <f>IF($A54="","",LET(k,(Data!$F$2:$F$1000=$A54)*(Data!$E$2:$E$1000&lt;&gt;""),IF(SUM(k)=0,0,COUNTA(UNIQUE(FILTER(Data!$E$2:$E$1000,k))))))</f>
        <v/>
      </c>
      <c r="D54" s="9">
        <f>IF($A54="","",COUNTIFS(Data!$F$2:$F$1000,$A54,Calc!$C$2:$C$1000,"Active"))</f>
        <v/>
      </c>
      <c r="E54" s="10">
        <f>IF($A54="","",IFERROR($B54/$A$5,0))</f>
        <v/>
      </c>
      <c r="F54" s="11">
        <f>IF($A54="","",REPT("|",ROUND($E54*24,0)))</f>
        <v/>
      </c>
      <c r="G54" s="12">
        <f>IF($A54="","",LET(v,MINIFS(Calc!$A$2:$A$1000,Data!$F$2:$F$1000,$A54,Calc!$A$2:$A$1000,"&lt;&gt;"),IF(v=0,"",v)))</f>
        <v/>
      </c>
    </row>
    <row r="55">
      <c r="A55" s="8" t="n"/>
      <c r="B55" s="9">
        <f>IF($A55="","",COUNTIF(Data!$F$2:$F$1000,$A55))</f>
        <v/>
      </c>
      <c r="C55" s="9">
        <f>IF($A55="","",LET(k,(Data!$F$2:$F$1000=$A55)*(Data!$E$2:$E$1000&lt;&gt;""),IF(SUM(k)=0,0,COUNTA(UNIQUE(FILTER(Data!$E$2:$E$1000,k))))))</f>
        <v/>
      </c>
      <c r="D55" s="9">
        <f>IF($A55="","",COUNTIFS(Data!$F$2:$F$1000,$A55,Calc!$C$2:$C$1000,"Active"))</f>
        <v/>
      </c>
      <c r="E55" s="10">
        <f>IF($A55="","",IFERROR($B55/$A$5,0))</f>
        <v/>
      </c>
      <c r="F55" s="11">
        <f>IF($A55="","",REPT("|",ROUND($E55*24,0)))</f>
        <v/>
      </c>
      <c r="G55" s="12">
        <f>IF($A55="","",LET(v,MINIFS(Calc!$A$2:$A$1000,Data!$F$2:$F$1000,$A55,Calc!$A$2:$A$1000,"&lt;&gt;"),IF(v=0,"",v)))</f>
        <v/>
      </c>
    </row>
    <row r="56">
      <c r="A56" s="8" t="n"/>
      <c r="B56" s="9">
        <f>IF($A56="","",COUNTIF(Data!$F$2:$F$1000,$A56))</f>
        <v/>
      </c>
      <c r="C56" s="9">
        <f>IF($A56="","",LET(k,(Data!$F$2:$F$1000=$A56)*(Data!$E$2:$E$1000&lt;&gt;""),IF(SUM(k)=0,0,COUNTA(UNIQUE(FILTER(Data!$E$2:$E$1000,k))))))</f>
        <v/>
      </c>
      <c r="D56" s="9">
        <f>IF($A56="","",COUNTIFS(Data!$F$2:$F$1000,$A56,Calc!$C$2:$C$1000,"Active"))</f>
        <v/>
      </c>
      <c r="E56" s="10">
        <f>IF($A56="","",IFERROR($B56/$A$5,0))</f>
        <v/>
      </c>
      <c r="F56" s="11">
        <f>IF($A56="","",REPT("|",ROUND($E56*24,0)))</f>
        <v/>
      </c>
      <c r="G56" s="12">
        <f>IF($A56="","",LET(v,MINIFS(Calc!$A$2:$A$1000,Data!$F$2:$F$1000,$A56,Calc!$A$2:$A$1000,"&lt;&gt;"),IF(v=0,"",v)))</f>
        <v/>
      </c>
    </row>
    <row r="57">
      <c r="A57" s="8" t="n"/>
      <c r="B57" s="9">
        <f>IF($A57="","",COUNTIF(Data!$F$2:$F$1000,$A57))</f>
        <v/>
      </c>
      <c r="C57" s="9">
        <f>IF($A57="","",LET(k,(Data!$F$2:$F$1000=$A57)*(Data!$E$2:$E$1000&lt;&gt;""),IF(SUM(k)=0,0,COUNTA(UNIQUE(FILTER(Data!$E$2:$E$1000,k))))))</f>
        <v/>
      </c>
      <c r="D57" s="9">
        <f>IF($A57="","",COUNTIFS(Data!$F$2:$F$1000,$A57,Calc!$C$2:$C$1000,"Active"))</f>
        <v/>
      </c>
      <c r="E57" s="10">
        <f>IF($A57="","",IFERROR($B57/$A$5,0))</f>
        <v/>
      </c>
      <c r="F57" s="11">
        <f>IF($A57="","",REPT("|",ROUND($E57*24,0)))</f>
        <v/>
      </c>
      <c r="G57" s="12">
        <f>IF($A57="","",LET(v,MINIFS(Calc!$A$2:$A$1000,Data!$F$2:$F$1000,$A57,Calc!$A$2:$A$1000,"&lt;&gt;"),IF(v=0,"",v)))</f>
        <v/>
      </c>
    </row>
    <row r="58">
      <c r="A58" s="8" t="n"/>
      <c r="B58" s="9">
        <f>IF($A58="","",COUNTIF(Data!$F$2:$F$1000,$A58))</f>
        <v/>
      </c>
      <c r="C58" s="9">
        <f>IF($A58="","",LET(k,(Data!$F$2:$F$1000=$A58)*(Data!$E$2:$E$1000&lt;&gt;""),IF(SUM(k)=0,0,COUNTA(UNIQUE(FILTER(Data!$E$2:$E$1000,k))))))</f>
        <v/>
      </c>
      <c r="D58" s="9">
        <f>IF($A58="","",COUNTIFS(Data!$F$2:$F$1000,$A58,Calc!$C$2:$C$1000,"Active"))</f>
        <v/>
      </c>
      <c r="E58" s="10">
        <f>IF($A58="","",IFERROR($B58/$A$5,0))</f>
        <v/>
      </c>
      <c r="F58" s="11">
        <f>IF($A58="","",REPT("|",ROUND($E58*24,0)))</f>
        <v/>
      </c>
      <c r="G58" s="12">
        <f>IF($A58="","",LET(v,MINIFS(Calc!$A$2:$A$1000,Data!$F$2:$F$1000,$A58,Calc!$A$2:$A$1000,"&lt;&gt;"),IF(v=0,"",v)))</f>
        <v/>
      </c>
    </row>
    <row r="59">
      <c r="A59" s="8" t="n"/>
      <c r="B59" s="9">
        <f>IF($A59="","",COUNTIF(Data!$F$2:$F$1000,$A59))</f>
        <v/>
      </c>
      <c r="C59" s="9">
        <f>IF($A59="","",LET(k,(Data!$F$2:$F$1000=$A59)*(Data!$E$2:$E$1000&lt;&gt;""),IF(SUM(k)=0,0,COUNTA(UNIQUE(FILTER(Data!$E$2:$E$1000,k))))))</f>
        <v/>
      </c>
      <c r="D59" s="9">
        <f>IF($A59="","",COUNTIFS(Data!$F$2:$F$1000,$A59,Calc!$C$2:$C$1000,"Active"))</f>
        <v/>
      </c>
      <c r="E59" s="10">
        <f>IF($A59="","",IFERROR($B59/$A$5,0))</f>
        <v/>
      </c>
      <c r="F59" s="11">
        <f>IF($A59="","",REPT("|",ROUND($E59*24,0)))</f>
        <v/>
      </c>
      <c r="G59" s="12">
        <f>IF($A59="","",LET(v,MINIFS(Calc!$A$2:$A$1000,Data!$F$2:$F$1000,$A59,Calc!$A$2:$A$1000,"&lt;&gt;"),IF(v=0,"",v)))</f>
        <v/>
      </c>
    </row>
    <row r="60">
      <c r="A60" s="8" t="n"/>
      <c r="B60" s="9">
        <f>IF($A60="","",COUNTIF(Data!$F$2:$F$1000,$A60))</f>
        <v/>
      </c>
      <c r="C60" s="9">
        <f>IF($A60="","",LET(k,(Data!$F$2:$F$1000=$A60)*(Data!$E$2:$E$1000&lt;&gt;""),IF(SUM(k)=0,0,COUNTA(UNIQUE(FILTER(Data!$E$2:$E$1000,k))))))</f>
        <v/>
      </c>
      <c r="D60" s="9">
        <f>IF($A60="","",COUNTIFS(Data!$F$2:$F$1000,$A60,Calc!$C$2:$C$1000,"Active"))</f>
        <v/>
      </c>
      <c r="E60" s="10">
        <f>IF($A60="","",IFERROR($B60/$A$5,0))</f>
        <v/>
      </c>
      <c r="F60" s="11">
        <f>IF($A60="","",REPT("|",ROUND($E60*24,0)))</f>
        <v/>
      </c>
      <c r="G60" s="12">
        <f>IF($A60="","",LET(v,MINIFS(Calc!$A$2:$A$1000,Data!$F$2:$F$1000,$A60,Calc!$A$2:$A$1000,"&lt;&gt;"),IF(v=0,"",v)))</f>
        <v/>
      </c>
    </row>
    <row r="61">
      <c r="A61" s="8" t="n"/>
      <c r="B61" s="9">
        <f>IF($A61="","",COUNTIF(Data!$F$2:$F$1000,$A61))</f>
        <v/>
      </c>
      <c r="C61" s="9">
        <f>IF($A61="","",LET(k,(Data!$F$2:$F$1000=$A61)*(Data!$E$2:$E$1000&lt;&gt;""),IF(SUM(k)=0,0,COUNTA(UNIQUE(FILTER(Data!$E$2:$E$1000,k))))))</f>
        <v/>
      </c>
      <c r="D61" s="9">
        <f>IF($A61="","",COUNTIFS(Data!$F$2:$F$1000,$A61,Calc!$C$2:$C$1000,"Active"))</f>
        <v/>
      </c>
      <c r="E61" s="10">
        <f>IF($A61="","",IFERROR($B61/$A$5,0))</f>
        <v/>
      </c>
      <c r="F61" s="11">
        <f>IF($A61="","",REPT("|",ROUND($E61*24,0)))</f>
        <v/>
      </c>
      <c r="G61" s="12">
        <f>IF($A61="","",LET(v,MINIFS(Calc!$A$2:$A$1000,Data!$F$2:$F$1000,$A61,Calc!$A$2:$A$1000,"&lt;&gt;"),IF(v=0,"",v)))</f>
        <v/>
      </c>
    </row>
    <row r="62">
      <c r="A62" s="8" t="n"/>
      <c r="B62" s="9">
        <f>IF($A62="","",COUNTIF(Data!$F$2:$F$1000,$A62))</f>
        <v/>
      </c>
      <c r="C62" s="9">
        <f>IF($A62="","",LET(k,(Data!$F$2:$F$1000=$A62)*(Data!$E$2:$E$1000&lt;&gt;""),IF(SUM(k)=0,0,COUNTA(UNIQUE(FILTER(Data!$E$2:$E$1000,k))))))</f>
        <v/>
      </c>
      <c r="D62" s="9">
        <f>IF($A62="","",COUNTIFS(Data!$F$2:$F$1000,$A62,Calc!$C$2:$C$1000,"Active"))</f>
        <v/>
      </c>
      <c r="E62" s="10">
        <f>IF($A62="","",IFERROR($B62/$A$5,0))</f>
        <v/>
      </c>
      <c r="F62" s="11">
        <f>IF($A62="","",REPT("|",ROUND($E62*24,0)))</f>
        <v/>
      </c>
      <c r="G62" s="12">
        <f>IF($A62="","",LET(v,MINIFS(Calc!$A$2:$A$1000,Data!$F$2:$F$1000,$A62,Calc!$A$2:$A$1000,"&lt;&gt;"),IF(v=0,"",v)))</f>
        <v/>
      </c>
    </row>
    <row r="63">
      <c r="A63" s="8" t="n"/>
      <c r="B63" s="9">
        <f>IF($A63="","",COUNTIF(Data!$F$2:$F$1000,$A63))</f>
        <v/>
      </c>
      <c r="C63" s="9">
        <f>IF($A63="","",LET(k,(Data!$F$2:$F$1000=$A63)*(Data!$E$2:$E$1000&lt;&gt;""),IF(SUM(k)=0,0,COUNTA(UNIQUE(FILTER(Data!$E$2:$E$1000,k))))))</f>
        <v/>
      </c>
      <c r="D63" s="9">
        <f>IF($A63="","",COUNTIFS(Data!$F$2:$F$1000,$A63,Calc!$C$2:$C$1000,"Active"))</f>
        <v/>
      </c>
      <c r="E63" s="10">
        <f>IF($A63="","",IFERROR($B63/$A$5,0))</f>
        <v/>
      </c>
      <c r="F63" s="11">
        <f>IF($A63="","",REPT("|",ROUND($E63*24,0)))</f>
        <v/>
      </c>
      <c r="G63" s="12">
        <f>IF($A63="","",LET(v,MINIFS(Calc!$A$2:$A$1000,Data!$F$2:$F$1000,$A63,Calc!$A$2:$A$1000,"&lt;&gt;"),IF(v=0,"",v)))</f>
        <v/>
      </c>
    </row>
    <row r="64">
      <c r="A64" s="8" t="n"/>
      <c r="B64" s="9">
        <f>IF($A64="","",COUNTIF(Data!$F$2:$F$1000,$A64))</f>
        <v/>
      </c>
      <c r="C64" s="9">
        <f>IF($A64="","",LET(k,(Data!$F$2:$F$1000=$A64)*(Data!$E$2:$E$1000&lt;&gt;""),IF(SUM(k)=0,0,COUNTA(UNIQUE(FILTER(Data!$E$2:$E$1000,k))))))</f>
        <v/>
      </c>
      <c r="D64" s="9">
        <f>IF($A64="","",COUNTIFS(Data!$F$2:$F$1000,$A64,Calc!$C$2:$C$1000,"Active"))</f>
        <v/>
      </c>
      <c r="E64" s="10">
        <f>IF($A64="","",IFERROR($B64/$A$5,0))</f>
        <v/>
      </c>
      <c r="F64" s="11">
        <f>IF($A64="","",REPT("|",ROUND($E64*24,0)))</f>
        <v/>
      </c>
      <c r="G64" s="12">
        <f>IF($A64="","",LET(v,MINIFS(Calc!$A$2:$A$1000,Data!$F$2:$F$1000,$A64,Calc!$A$2:$A$1000,"&lt;&gt;"),IF(v=0,"",v)))</f>
        <v/>
      </c>
    </row>
    <row r="65">
      <c r="A65" s="8" t="n"/>
      <c r="B65" s="9">
        <f>IF($A65="","",COUNTIF(Data!$F$2:$F$1000,$A65))</f>
        <v/>
      </c>
      <c r="C65" s="9">
        <f>IF($A65="","",LET(k,(Data!$F$2:$F$1000=$A65)*(Data!$E$2:$E$1000&lt;&gt;""),IF(SUM(k)=0,0,COUNTA(UNIQUE(FILTER(Data!$E$2:$E$1000,k))))))</f>
        <v/>
      </c>
      <c r="D65" s="9">
        <f>IF($A65="","",COUNTIFS(Data!$F$2:$F$1000,$A65,Calc!$C$2:$C$1000,"Active"))</f>
        <v/>
      </c>
      <c r="E65" s="10">
        <f>IF($A65="","",IFERROR($B65/$A$5,0))</f>
        <v/>
      </c>
      <c r="F65" s="11">
        <f>IF($A65="","",REPT("|",ROUND($E65*24,0)))</f>
        <v/>
      </c>
      <c r="G65" s="12">
        <f>IF($A65="","",LET(v,MINIFS(Calc!$A$2:$A$1000,Data!$F$2:$F$1000,$A65,Calc!$A$2:$A$1000,"&lt;&gt;"),IF(v=0,"",v)))</f>
        <v/>
      </c>
    </row>
    <row r="66">
      <c r="A66" s="8" t="n"/>
      <c r="B66" s="9">
        <f>IF($A66="","",COUNTIF(Data!$F$2:$F$1000,$A66))</f>
        <v/>
      </c>
      <c r="C66" s="9">
        <f>IF($A66="","",LET(k,(Data!$F$2:$F$1000=$A66)*(Data!$E$2:$E$1000&lt;&gt;""),IF(SUM(k)=0,0,COUNTA(UNIQUE(FILTER(Data!$E$2:$E$1000,k))))))</f>
        <v/>
      </c>
      <c r="D66" s="9">
        <f>IF($A66="","",COUNTIFS(Data!$F$2:$F$1000,$A66,Calc!$C$2:$C$1000,"Active"))</f>
        <v/>
      </c>
      <c r="E66" s="10">
        <f>IF($A66="","",IFERROR($B66/$A$5,0))</f>
        <v/>
      </c>
      <c r="F66" s="11">
        <f>IF($A66="","",REPT("|",ROUND($E66*24,0)))</f>
        <v/>
      </c>
      <c r="G66" s="12">
        <f>IF($A66="","",LET(v,MINIFS(Calc!$A$2:$A$1000,Data!$F$2:$F$1000,$A66,Calc!$A$2:$A$1000,"&lt;&gt;"),IF(v=0,"",v)))</f>
        <v/>
      </c>
    </row>
    <row r="67">
      <c r="A67" s="8" t="n"/>
      <c r="B67" s="9">
        <f>IF($A67="","",COUNTIF(Data!$F$2:$F$1000,$A67))</f>
        <v/>
      </c>
      <c r="C67" s="9">
        <f>IF($A67="","",LET(k,(Data!$F$2:$F$1000=$A67)*(Data!$E$2:$E$1000&lt;&gt;""),IF(SUM(k)=0,0,COUNTA(UNIQUE(FILTER(Data!$E$2:$E$1000,k))))))</f>
        <v/>
      </c>
      <c r="D67" s="9">
        <f>IF($A67="","",COUNTIFS(Data!$F$2:$F$1000,$A67,Calc!$C$2:$C$1000,"Active"))</f>
        <v/>
      </c>
      <c r="E67" s="10">
        <f>IF($A67="","",IFERROR($B67/$A$5,0))</f>
        <v/>
      </c>
      <c r="F67" s="11">
        <f>IF($A67="","",REPT("|",ROUND($E67*24,0)))</f>
        <v/>
      </c>
      <c r="G67" s="12">
        <f>IF($A67="","",LET(v,MINIFS(Calc!$A$2:$A$1000,Data!$F$2:$F$1000,$A67,Calc!$A$2:$A$1000,"&lt;&gt;"),IF(v=0,"",v)))</f>
        <v/>
      </c>
    </row>
    <row r="68">
      <c r="A68" s="8" t="n"/>
      <c r="B68" s="9">
        <f>IF($A68="","",COUNTIF(Data!$F$2:$F$1000,$A68))</f>
        <v/>
      </c>
      <c r="C68" s="9">
        <f>IF($A68="","",LET(k,(Data!$F$2:$F$1000=$A68)*(Data!$E$2:$E$1000&lt;&gt;""),IF(SUM(k)=0,0,COUNTA(UNIQUE(FILTER(Data!$E$2:$E$1000,k))))))</f>
        <v/>
      </c>
      <c r="D68" s="9">
        <f>IF($A68="","",COUNTIFS(Data!$F$2:$F$1000,$A68,Calc!$C$2:$C$1000,"Active"))</f>
        <v/>
      </c>
      <c r="E68" s="10">
        <f>IF($A68="","",IFERROR($B68/$A$5,0))</f>
        <v/>
      </c>
      <c r="F68" s="11">
        <f>IF($A68="","",REPT("|",ROUND($E68*24,0)))</f>
        <v/>
      </c>
      <c r="G68" s="12">
        <f>IF($A68="","",LET(v,MINIFS(Calc!$A$2:$A$1000,Data!$F$2:$F$1000,$A68,Calc!$A$2:$A$1000,"&lt;&gt;"),IF(v=0,"",v)))</f>
        <v/>
      </c>
    </row>
    <row r="69">
      <c r="A69" s="8" t="n"/>
      <c r="B69" s="9">
        <f>IF($A69="","",COUNTIF(Data!$F$2:$F$1000,$A69))</f>
        <v/>
      </c>
      <c r="C69" s="9">
        <f>IF($A69="","",LET(k,(Data!$F$2:$F$1000=$A69)*(Data!$E$2:$E$1000&lt;&gt;""),IF(SUM(k)=0,0,COUNTA(UNIQUE(FILTER(Data!$E$2:$E$1000,k))))))</f>
        <v/>
      </c>
      <c r="D69" s="9">
        <f>IF($A69="","",COUNTIFS(Data!$F$2:$F$1000,$A69,Calc!$C$2:$C$1000,"Active"))</f>
        <v/>
      </c>
      <c r="E69" s="10">
        <f>IF($A69="","",IFERROR($B69/$A$5,0))</f>
        <v/>
      </c>
      <c r="F69" s="11">
        <f>IF($A69="","",REPT("|",ROUND($E69*24,0)))</f>
        <v/>
      </c>
      <c r="G69" s="12">
        <f>IF($A69="","",LET(v,MINIFS(Calc!$A$2:$A$1000,Data!$F$2:$F$1000,$A69,Calc!$A$2:$A$1000,"&lt;&gt;"),IF(v=0,"",v)))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9D55"/>
    <outlinePr summaryBelow="1" summaryRight="1"/>
    <pageSetUpPr/>
  </sheetPr>
  <dimension ref="A1:G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14" customWidth="1" min="4" max="4"/>
    <col width="20" customWidth="1" min="5" max="5"/>
    <col width="20" customWidth="1" min="6" max="6"/>
    <col width="14" customWidth="1" min="7" max="7"/>
  </cols>
  <sheetData>
    <row r="1">
      <c r="A1" s="13" t="inlineStr">
        <is>
          <t>Search</t>
        </is>
      </c>
      <c r="B1" s="14" t="n"/>
      <c r="C1" s="13" t="inlineStr">
        <is>
          <t>Department</t>
        </is>
      </c>
      <c r="D1" s="14" t="n"/>
      <c r="E1" s="13" t="inlineStr">
        <is>
          <t>Owner</t>
        </is>
      </c>
      <c r="F1" s="14" t="n"/>
      <c r="G1" s="13">
        <f>SUMPRODUCT((Data!$A$2:$A$1000&lt;&gt;"")*((($B$1="")+ISNUMBER(SEARCH($B$1,Data!$A$2:$A$1000&amp;" "&amp;Data!$B$2:$B$1000&amp;" "&amp;Data!$E$2:$E$1000&amp;" "&amp;Data!$F$2:$F$1000)))&gt;0)*((($D$1="")+(Data!$F$2:$F$1000=$D$1))&gt;0)*((($F$1="")+(Data!$E$2:$E$1000=$F$1))&gt;0))&amp;" of "&amp;COUNTA(Data!$A$2:$A$1000)&amp;" projects"</f>
        <v/>
      </c>
    </row>
    <row r="2">
      <c r="A2" s="1" t="inlineStr">
        <is>
          <t>Project</t>
        </is>
      </c>
      <c r="B2" s="1" t="inlineStr">
        <is>
          <t>Impact</t>
        </is>
      </c>
      <c r="C2" s="1" t="inlineStr">
        <is>
          <t>Start</t>
        </is>
      </c>
      <c r="D2" s="1" t="inlineStr">
        <is>
          <t>End</t>
        </is>
      </c>
      <c r="E2" s="1" t="inlineStr">
        <is>
          <t>Owner</t>
        </is>
      </c>
      <c r="F2" s="1" t="inlineStr">
        <is>
          <t>Department</t>
        </is>
      </c>
      <c r="G2" s="1" t="inlineStr">
        <is>
          <t>Status</t>
        </is>
      </c>
    </row>
    <row r="3">
      <c r="A3" s="15">
        <f>IFERROR(FILTER(CHOOSE({1,2,3,4,5,6,7},Data!$A$2:$A$1000,Data!$B$2:$B$1000,Calc!$A$2:$A$1000,Calc!$B$2:$B$1000,Data!$E$2:$E$1000,Data!$F$2:$F$1000,Calc!$C$2:$C$1000),(Data!$A$2:$A$1000&lt;&gt;"")*((($B$1="")+ISNUMBER(SEARCH($B$1,Data!$A$2:$A$1000&amp;" "&amp;Data!$B$2:$B$1000&amp;" "&amp;Data!$E$2:$E$1000&amp;" "&amp;Data!$F$2:$F$1000)))&gt;0)*((($D$1="")+(Data!$F$2:$F$1000=$D$1))&gt;0)*((($F$1="")+(Data!$E$2:$E$1000=$F$1))&gt;0)),"No projects match the current filters.")</f>
        <v/>
      </c>
      <c r="C3" s="16" t="n"/>
      <c r="D3" s="16" t="n"/>
      <c r="G3" s="17" t="n"/>
    </row>
    <row r="4">
      <c r="A4" s="15" t="n"/>
      <c r="C4" s="16" t="n"/>
      <c r="D4" s="16" t="n"/>
      <c r="G4" s="17" t="n"/>
    </row>
    <row r="5">
      <c r="A5" s="15" t="n"/>
      <c r="C5" s="16" t="n"/>
      <c r="D5" s="16" t="n"/>
      <c r="G5" s="17" t="n"/>
    </row>
    <row r="6">
      <c r="A6" s="15" t="n"/>
      <c r="C6" s="16" t="n"/>
      <c r="D6" s="16" t="n"/>
      <c r="G6" s="17" t="n"/>
    </row>
    <row r="7">
      <c r="A7" s="15" t="n"/>
      <c r="C7" s="16" t="n"/>
      <c r="D7" s="16" t="n"/>
      <c r="G7" s="17" t="n"/>
    </row>
    <row r="8">
      <c r="A8" s="15" t="n"/>
      <c r="C8" s="16" t="n"/>
      <c r="D8" s="16" t="n"/>
      <c r="G8" s="17" t="n"/>
    </row>
    <row r="9">
      <c r="A9" s="15" t="n"/>
      <c r="C9" s="16" t="n"/>
      <c r="D9" s="16" t="n"/>
      <c r="G9" s="17" t="n"/>
    </row>
    <row r="10">
      <c r="A10" s="15" t="n"/>
      <c r="C10" s="16" t="n"/>
      <c r="D10" s="16" t="n"/>
      <c r="G10" s="17" t="n"/>
    </row>
    <row r="11">
      <c r="A11" s="15" t="n"/>
      <c r="C11" s="16" t="n"/>
      <c r="D11" s="16" t="n"/>
      <c r="G11" s="17" t="n"/>
    </row>
    <row r="12">
      <c r="A12" s="15" t="n"/>
      <c r="C12" s="16" t="n"/>
      <c r="D12" s="16" t="n"/>
      <c r="G12" s="17" t="n"/>
    </row>
    <row r="13">
      <c r="A13" s="15" t="n"/>
      <c r="C13" s="16" t="n"/>
      <c r="D13" s="16" t="n"/>
      <c r="G13" s="17" t="n"/>
    </row>
    <row r="14">
      <c r="A14" s="15" t="n"/>
      <c r="C14" s="16" t="n"/>
      <c r="D14" s="16" t="n"/>
      <c r="G14" s="17" t="n"/>
    </row>
    <row r="15">
      <c r="A15" s="15" t="n"/>
      <c r="C15" s="16" t="n"/>
      <c r="D15" s="16" t="n"/>
      <c r="G15" s="17" t="n"/>
    </row>
    <row r="16">
      <c r="A16" s="15" t="n"/>
      <c r="C16" s="16" t="n"/>
      <c r="D16" s="16" t="n"/>
      <c r="G16" s="17" t="n"/>
    </row>
    <row r="17">
      <c r="A17" s="15" t="n"/>
      <c r="C17" s="16" t="n"/>
      <c r="D17" s="16" t="n"/>
      <c r="G17" s="17" t="n"/>
    </row>
    <row r="18">
      <c r="A18" s="15" t="n"/>
      <c r="C18" s="16" t="n"/>
      <c r="D18" s="16" t="n"/>
      <c r="G18" s="17" t="n"/>
    </row>
    <row r="19">
      <c r="A19" s="15" t="n"/>
      <c r="C19" s="16" t="n"/>
      <c r="D19" s="16" t="n"/>
      <c r="G19" s="17" t="n"/>
    </row>
    <row r="20">
      <c r="A20" s="15" t="n"/>
      <c r="C20" s="16" t="n"/>
      <c r="D20" s="16" t="n"/>
      <c r="G20" s="17" t="n"/>
    </row>
    <row r="21">
      <c r="A21" s="15" t="n"/>
      <c r="C21" s="16" t="n"/>
      <c r="D21" s="16" t="n"/>
      <c r="G21" s="17" t="n"/>
    </row>
    <row r="22">
      <c r="A22" s="15" t="n"/>
      <c r="C22" s="16" t="n"/>
      <c r="D22" s="16" t="n"/>
      <c r="G22" s="17" t="n"/>
    </row>
    <row r="23">
      <c r="A23" s="15" t="n"/>
      <c r="C23" s="16" t="n"/>
      <c r="D23" s="16" t="n"/>
      <c r="G23" s="17" t="n"/>
    </row>
    <row r="24">
      <c r="A24" s="15" t="n"/>
      <c r="C24" s="16" t="n"/>
      <c r="D24" s="16" t="n"/>
      <c r="G24" s="17" t="n"/>
    </row>
    <row r="25">
      <c r="A25" s="15" t="n"/>
      <c r="C25" s="16" t="n"/>
      <c r="D25" s="16" t="n"/>
      <c r="G25" s="17" t="n"/>
    </row>
    <row r="26">
      <c r="A26" s="15" t="n"/>
      <c r="C26" s="16" t="n"/>
      <c r="D26" s="16" t="n"/>
      <c r="G26" s="17" t="n"/>
    </row>
    <row r="27">
      <c r="A27" s="15" t="n"/>
      <c r="C27" s="16" t="n"/>
      <c r="D27" s="16" t="n"/>
      <c r="G27" s="17" t="n"/>
    </row>
    <row r="28">
      <c r="A28" s="15" t="n"/>
      <c r="C28" s="16" t="n"/>
      <c r="D28" s="16" t="n"/>
      <c r="G28" s="17" t="n"/>
    </row>
    <row r="29">
      <c r="A29" s="15" t="n"/>
      <c r="C29" s="16" t="n"/>
      <c r="D29" s="16" t="n"/>
      <c r="G29" s="17" t="n"/>
    </row>
    <row r="30">
      <c r="A30" s="15" t="n"/>
      <c r="C30" s="16" t="n"/>
      <c r="D30" s="16" t="n"/>
      <c r="G30" s="17" t="n"/>
    </row>
    <row r="31">
      <c r="A31" s="15" t="n"/>
      <c r="C31" s="16" t="n"/>
      <c r="D31" s="16" t="n"/>
      <c r="G31" s="17" t="n"/>
    </row>
    <row r="32">
      <c r="A32" s="15" t="n"/>
      <c r="C32" s="16" t="n"/>
      <c r="D32" s="16" t="n"/>
      <c r="G32" s="17" t="n"/>
    </row>
    <row r="33">
      <c r="A33" s="15" t="n"/>
      <c r="C33" s="16" t="n"/>
      <c r="D33" s="16" t="n"/>
      <c r="G33" s="17" t="n"/>
    </row>
    <row r="34">
      <c r="A34" s="15" t="n"/>
      <c r="C34" s="16" t="n"/>
      <c r="D34" s="16" t="n"/>
      <c r="G34" s="17" t="n"/>
    </row>
    <row r="35">
      <c r="A35" s="15" t="n"/>
      <c r="C35" s="16" t="n"/>
      <c r="D35" s="16" t="n"/>
      <c r="G35" s="17" t="n"/>
    </row>
    <row r="36">
      <c r="A36" s="15" t="n"/>
      <c r="C36" s="16" t="n"/>
      <c r="D36" s="16" t="n"/>
      <c r="G36" s="17" t="n"/>
    </row>
    <row r="37">
      <c r="A37" s="15" t="n"/>
      <c r="C37" s="16" t="n"/>
      <c r="D37" s="16" t="n"/>
      <c r="G37" s="17" t="n"/>
    </row>
    <row r="38">
      <c r="A38" s="15" t="n"/>
      <c r="C38" s="16" t="n"/>
      <c r="D38" s="16" t="n"/>
      <c r="G38" s="17" t="n"/>
    </row>
    <row r="39">
      <c r="A39" s="15" t="n"/>
      <c r="C39" s="16" t="n"/>
      <c r="D39" s="16" t="n"/>
      <c r="G39" s="17" t="n"/>
    </row>
    <row r="40">
      <c r="A40" s="15" t="n"/>
      <c r="C40" s="16" t="n"/>
      <c r="D40" s="16" t="n"/>
      <c r="G40" s="17" t="n"/>
    </row>
    <row r="41">
      <c r="A41" s="15" t="n"/>
      <c r="C41" s="16" t="n"/>
      <c r="D41" s="16" t="n"/>
      <c r="G41" s="17" t="n"/>
    </row>
    <row r="42">
      <c r="A42" s="15" t="n"/>
      <c r="C42" s="16" t="n"/>
      <c r="D42" s="16" t="n"/>
      <c r="G42" s="17" t="n"/>
    </row>
    <row r="43">
      <c r="A43" s="15" t="n"/>
      <c r="C43" s="16" t="n"/>
      <c r="D43" s="16" t="n"/>
      <c r="G43" s="17" t="n"/>
    </row>
    <row r="44">
      <c r="A44" s="15" t="n"/>
      <c r="C44" s="16" t="n"/>
      <c r="D44" s="16" t="n"/>
      <c r="G44" s="17" t="n"/>
    </row>
    <row r="45">
      <c r="A45" s="15" t="n"/>
      <c r="C45" s="16" t="n"/>
      <c r="D45" s="16" t="n"/>
      <c r="G45" s="17" t="n"/>
    </row>
    <row r="46">
      <c r="A46" s="15" t="n"/>
      <c r="C46" s="16" t="n"/>
      <c r="D46" s="16" t="n"/>
      <c r="G46" s="17" t="n"/>
    </row>
    <row r="47">
      <c r="A47" s="15" t="n"/>
      <c r="C47" s="16" t="n"/>
      <c r="D47" s="16" t="n"/>
      <c r="G47" s="17" t="n"/>
    </row>
    <row r="48">
      <c r="A48" s="15" t="n"/>
      <c r="C48" s="16" t="n"/>
      <c r="D48" s="16" t="n"/>
      <c r="G48" s="17" t="n"/>
    </row>
    <row r="49">
      <c r="A49" s="15" t="n"/>
      <c r="C49" s="16" t="n"/>
      <c r="D49" s="16" t="n"/>
      <c r="G49" s="17" t="n"/>
    </row>
    <row r="50">
      <c r="A50" s="15" t="n"/>
      <c r="C50" s="16" t="n"/>
      <c r="D50" s="16" t="n"/>
      <c r="G50" s="17" t="n"/>
    </row>
    <row r="51">
      <c r="A51" s="15" t="n"/>
      <c r="C51" s="16" t="n"/>
      <c r="D51" s="16" t="n"/>
      <c r="G51" s="17" t="n"/>
    </row>
    <row r="52">
      <c r="A52" s="15" t="n"/>
      <c r="C52" s="16" t="n"/>
      <c r="D52" s="16" t="n"/>
      <c r="G52" s="17" t="n"/>
    </row>
    <row r="53">
      <c r="A53" s="15" t="n"/>
      <c r="C53" s="16" t="n"/>
      <c r="D53" s="16" t="n"/>
      <c r="G53" s="17" t="n"/>
    </row>
    <row r="54">
      <c r="A54" s="15" t="n"/>
      <c r="C54" s="16" t="n"/>
      <c r="D54" s="16" t="n"/>
      <c r="G54" s="17" t="n"/>
    </row>
    <row r="55">
      <c r="A55" s="15" t="n"/>
      <c r="C55" s="16" t="n"/>
      <c r="D55" s="16" t="n"/>
      <c r="G55" s="17" t="n"/>
    </row>
    <row r="56">
      <c r="A56" s="15" t="n"/>
      <c r="C56" s="16" t="n"/>
      <c r="D56" s="16" t="n"/>
      <c r="G56" s="17" t="n"/>
    </row>
    <row r="57">
      <c r="A57" s="15" t="n"/>
      <c r="C57" s="16" t="n"/>
      <c r="D57" s="16" t="n"/>
      <c r="G57" s="17" t="n"/>
    </row>
    <row r="58">
      <c r="A58" s="15" t="n"/>
      <c r="C58" s="16" t="n"/>
      <c r="D58" s="16" t="n"/>
      <c r="G58" s="17" t="n"/>
    </row>
    <row r="59">
      <c r="A59" s="15" t="n"/>
      <c r="C59" s="16" t="n"/>
      <c r="D59" s="16" t="n"/>
      <c r="G59" s="17" t="n"/>
    </row>
    <row r="60">
      <c r="A60" s="15" t="n"/>
      <c r="C60" s="16" t="n"/>
      <c r="D60" s="16" t="n"/>
      <c r="G60" s="17" t="n"/>
    </row>
    <row r="61">
      <c r="A61" s="15" t="n"/>
      <c r="C61" s="16" t="n"/>
      <c r="D61" s="16" t="n"/>
      <c r="G61" s="17" t="n"/>
    </row>
    <row r="62">
      <c r="A62" s="15" t="n"/>
      <c r="C62" s="16" t="n"/>
      <c r="D62" s="16" t="n"/>
      <c r="G62" s="17" t="n"/>
    </row>
    <row r="63">
      <c r="A63" s="15" t="n"/>
      <c r="C63" s="16" t="n"/>
      <c r="D63" s="16" t="n"/>
      <c r="G63" s="17" t="n"/>
    </row>
    <row r="64">
      <c r="A64" s="15" t="n"/>
      <c r="C64" s="16" t="n"/>
      <c r="D64" s="16" t="n"/>
      <c r="G64" s="17" t="n"/>
    </row>
    <row r="65">
      <c r="A65" s="15" t="n"/>
      <c r="C65" s="16" t="n"/>
      <c r="D65" s="16" t="n"/>
      <c r="G65" s="17" t="n"/>
    </row>
    <row r="66">
      <c r="A66" s="15" t="n"/>
      <c r="C66" s="16" t="n"/>
      <c r="D66" s="16" t="n"/>
      <c r="G66" s="17" t="n"/>
    </row>
    <row r="67">
      <c r="A67" s="15" t="n"/>
      <c r="C67" s="16" t="n"/>
      <c r="D67" s="16" t="n"/>
      <c r="G67" s="17" t="n"/>
    </row>
    <row r="68">
      <c r="A68" s="15" t="n"/>
      <c r="C68" s="16" t="n"/>
      <c r="D68" s="16" t="n"/>
      <c r="G68" s="17" t="n"/>
    </row>
    <row r="69">
      <c r="A69" s="15" t="n"/>
      <c r="C69" s="16" t="n"/>
      <c r="D69" s="16" t="n"/>
      <c r="G69" s="17" t="n"/>
    </row>
    <row r="70">
      <c r="A70" s="15" t="n"/>
      <c r="C70" s="16" t="n"/>
      <c r="D70" s="16" t="n"/>
      <c r="G70" s="17" t="n"/>
    </row>
    <row r="71">
      <c r="A71" s="15" t="n"/>
      <c r="C71" s="16" t="n"/>
      <c r="D71" s="16" t="n"/>
      <c r="G71" s="17" t="n"/>
    </row>
    <row r="72">
      <c r="A72" s="15" t="n"/>
      <c r="C72" s="16" t="n"/>
      <c r="D72" s="16" t="n"/>
      <c r="G72" s="17" t="n"/>
    </row>
    <row r="73">
      <c r="A73" s="15" t="n"/>
      <c r="C73" s="16" t="n"/>
      <c r="D73" s="16" t="n"/>
      <c r="G73" s="17" t="n"/>
    </row>
    <row r="74">
      <c r="A74" s="15" t="n"/>
      <c r="C74" s="16" t="n"/>
      <c r="D74" s="16" t="n"/>
      <c r="G74" s="17" t="n"/>
    </row>
    <row r="75">
      <c r="A75" s="15" t="n"/>
      <c r="C75" s="16" t="n"/>
      <c r="D75" s="16" t="n"/>
      <c r="G75" s="17" t="n"/>
    </row>
    <row r="76">
      <c r="A76" s="15" t="n"/>
      <c r="C76" s="16" t="n"/>
      <c r="D76" s="16" t="n"/>
      <c r="G76" s="17" t="n"/>
    </row>
    <row r="77">
      <c r="A77" s="15" t="n"/>
      <c r="C77" s="16" t="n"/>
      <c r="D77" s="16" t="n"/>
      <c r="G77" s="17" t="n"/>
    </row>
    <row r="78">
      <c r="A78" s="15" t="n"/>
      <c r="C78" s="16" t="n"/>
      <c r="D78" s="16" t="n"/>
      <c r="G78" s="17" t="n"/>
    </row>
    <row r="79">
      <c r="A79" s="15" t="n"/>
      <c r="C79" s="16" t="n"/>
      <c r="D79" s="16" t="n"/>
      <c r="G79" s="17" t="n"/>
    </row>
    <row r="80">
      <c r="A80" s="15" t="n"/>
      <c r="C80" s="16" t="n"/>
      <c r="D80" s="16" t="n"/>
      <c r="G80" s="17" t="n"/>
    </row>
    <row r="81">
      <c r="A81" s="15" t="n"/>
      <c r="C81" s="16" t="n"/>
      <c r="D81" s="16" t="n"/>
      <c r="G81" s="17" t="n"/>
    </row>
    <row r="82">
      <c r="A82" s="15" t="n"/>
      <c r="C82" s="16" t="n"/>
      <c r="D82" s="16" t="n"/>
      <c r="G82" s="17" t="n"/>
    </row>
    <row r="83">
      <c r="A83" s="15" t="n"/>
      <c r="C83" s="16" t="n"/>
      <c r="D83" s="16" t="n"/>
      <c r="G83" s="17" t="n"/>
    </row>
    <row r="84">
      <c r="A84" s="15" t="n"/>
      <c r="C84" s="16" t="n"/>
      <c r="D84" s="16" t="n"/>
      <c r="G84" s="17" t="n"/>
    </row>
    <row r="85">
      <c r="A85" s="15" t="n"/>
      <c r="C85" s="16" t="n"/>
      <c r="D85" s="16" t="n"/>
      <c r="G85" s="17" t="n"/>
    </row>
    <row r="86">
      <c r="A86" s="15" t="n"/>
      <c r="C86" s="16" t="n"/>
      <c r="D86" s="16" t="n"/>
      <c r="G86" s="17" t="n"/>
    </row>
    <row r="87">
      <c r="A87" s="15" t="n"/>
      <c r="C87" s="16" t="n"/>
      <c r="D87" s="16" t="n"/>
      <c r="G87" s="17" t="n"/>
    </row>
    <row r="88">
      <c r="A88" s="15" t="n"/>
      <c r="C88" s="16" t="n"/>
      <c r="D88" s="16" t="n"/>
      <c r="G88" s="17" t="n"/>
    </row>
    <row r="89">
      <c r="A89" s="15" t="n"/>
      <c r="C89" s="16" t="n"/>
      <c r="D89" s="16" t="n"/>
      <c r="G89" s="17" t="n"/>
    </row>
    <row r="90">
      <c r="A90" s="15" t="n"/>
      <c r="C90" s="16" t="n"/>
      <c r="D90" s="16" t="n"/>
      <c r="G90" s="17" t="n"/>
    </row>
    <row r="91">
      <c r="A91" s="15" t="n"/>
      <c r="C91" s="16" t="n"/>
      <c r="D91" s="16" t="n"/>
      <c r="G91" s="17" t="n"/>
    </row>
    <row r="92">
      <c r="A92" s="15" t="n"/>
      <c r="C92" s="16" t="n"/>
      <c r="D92" s="16" t="n"/>
      <c r="G92" s="17" t="n"/>
    </row>
    <row r="93">
      <c r="A93" s="15" t="n"/>
      <c r="C93" s="16" t="n"/>
      <c r="D93" s="16" t="n"/>
      <c r="G93" s="17" t="n"/>
    </row>
    <row r="94">
      <c r="A94" s="15" t="n"/>
      <c r="C94" s="16" t="n"/>
      <c r="D94" s="16" t="n"/>
      <c r="G94" s="17" t="n"/>
    </row>
    <row r="95">
      <c r="A95" s="15" t="n"/>
      <c r="C95" s="16" t="n"/>
      <c r="D95" s="16" t="n"/>
      <c r="G95" s="17" t="n"/>
    </row>
    <row r="96">
      <c r="A96" s="15" t="n"/>
      <c r="C96" s="16" t="n"/>
      <c r="D96" s="16" t="n"/>
      <c r="G96" s="17" t="n"/>
    </row>
    <row r="97">
      <c r="A97" s="15" t="n"/>
      <c r="C97" s="16" t="n"/>
      <c r="D97" s="16" t="n"/>
      <c r="G97" s="17" t="n"/>
    </row>
    <row r="98">
      <c r="A98" s="15" t="n"/>
      <c r="C98" s="16" t="n"/>
      <c r="D98" s="16" t="n"/>
      <c r="G98" s="17" t="n"/>
    </row>
    <row r="99">
      <c r="A99" s="15" t="n"/>
      <c r="C99" s="16" t="n"/>
      <c r="D99" s="16" t="n"/>
      <c r="G99" s="17" t="n"/>
    </row>
    <row r="100">
      <c r="A100" s="15" t="n"/>
      <c r="C100" s="16" t="n"/>
      <c r="D100" s="16" t="n"/>
      <c r="G100" s="17" t="n"/>
    </row>
    <row r="101">
      <c r="A101" s="15" t="n"/>
      <c r="C101" s="16" t="n"/>
      <c r="D101" s="16" t="n"/>
      <c r="G101" s="17" t="n"/>
    </row>
    <row r="102">
      <c r="A102" s="15" t="n"/>
      <c r="C102" s="16" t="n"/>
      <c r="D102" s="16" t="n"/>
      <c r="G102" s="17" t="n"/>
    </row>
    <row r="103">
      <c r="A103" s="15" t="n"/>
      <c r="C103" s="16" t="n"/>
      <c r="D103" s="16" t="n"/>
      <c r="G103" s="17" t="n"/>
    </row>
    <row r="104">
      <c r="A104" s="15" t="n"/>
      <c r="C104" s="16" t="n"/>
      <c r="D104" s="16" t="n"/>
      <c r="G104" s="17" t="n"/>
    </row>
    <row r="105">
      <c r="A105" s="15" t="n"/>
      <c r="C105" s="16" t="n"/>
      <c r="D105" s="16" t="n"/>
      <c r="G105" s="17" t="n"/>
    </row>
    <row r="106">
      <c r="A106" s="15" t="n"/>
      <c r="C106" s="16" t="n"/>
      <c r="D106" s="16" t="n"/>
      <c r="G106" s="17" t="n"/>
    </row>
    <row r="107">
      <c r="A107" s="15" t="n"/>
      <c r="C107" s="16" t="n"/>
      <c r="D107" s="16" t="n"/>
      <c r="G107" s="17" t="n"/>
    </row>
    <row r="108">
      <c r="A108" s="15" t="n"/>
      <c r="C108" s="16" t="n"/>
      <c r="D108" s="16" t="n"/>
      <c r="G108" s="17" t="n"/>
    </row>
    <row r="109">
      <c r="A109" s="15" t="n"/>
      <c r="C109" s="16" t="n"/>
      <c r="D109" s="16" t="n"/>
      <c r="G109" s="17" t="n"/>
    </row>
    <row r="110">
      <c r="A110" s="15" t="n"/>
      <c r="C110" s="16" t="n"/>
      <c r="D110" s="16" t="n"/>
      <c r="G110" s="17" t="n"/>
    </row>
    <row r="111">
      <c r="A111" s="15" t="n"/>
      <c r="C111" s="16" t="n"/>
      <c r="D111" s="16" t="n"/>
      <c r="G111" s="17" t="n"/>
    </row>
    <row r="112">
      <c r="A112" s="15" t="n"/>
      <c r="C112" s="16" t="n"/>
      <c r="D112" s="16" t="n"/>
      <c r="G112" s="17" t="n"/>
    </row>
    <row r="113">
      <c r="A113" s="15" t="n"/>
      <c r="C113" s="16" t="n"/>
      <c r="D113" s="16" t="n"/>
      <c r="G113" s="17" t="n"/>
    </row>
    <row r="114">
      <c r="A114" s="15" t="n"/>
      <c r="C114" s="16" t="n"/>
      <c r="D114" s="16" t="n"/>
      <c r="G114" s="17" t="n"/>
    </row>
    <row r="115">
      <c r="A115" s="15" t="n"/>
      <c r="C115" s="16" t="n"/>
      <c r="D115" s="16" t="n"/>
      <c r="G115" s="17" t="n"/>
    </row>
    <row r="116">
      <c r="A116" s="15" t="n"/>
      <c r="C116" s="16" t="n"/>
      <c r="D116" s="16" t="n"/>
      <c r="G116" s="17" t="n"/>
    </row>
    <row r="117">
      <c r="A117" s="15" t="n"/>
      <c r="C117" s="16" t="n"/>
      <c r="D117" s="16" t="n"/>
      <c r="G117" s="17" t="n"/>
    </row>
    <row r="118">
      <c r="A118" s="15" t="n"/>
      <c r="C118" s="16" t="n"/>
      <c r="D118" s="16" t="n"/>
      <c r="G118" s="17" t="n"/>
    </row>
    <row r="119">
      <c r="A119" s="15" t="n"/>
      <c r="C119" s="16" t="n"/>
      <c r="D119" s="16" t="n"/>
      <c r="G119" s="17" t="n"/>
    </row>
    <row r="120">
      <c r="A120" s="15" t="n"/>
      <c r="C120" s="16" t="n"/>
      <c r="D120" s="16" t="n"/>
      <c r="G120" s="17" t="n"/>
    </row>
    <row r="121">
      <c r="A121" s="15" t="n"/>
      <c r="C121" s="16" t="n"/>
      <c r="D121" s="16" t="n"/>
      <c r="G121" s="17" t="n"/>
    </row>
    <row r="122">
      <c r="A122" s="15" t="n"/>
      <c r="C122" s="16" t="n"/>
      <c r="D122" s="16" t="n"/>
      <c r="G122" s="17" t="n"/>
    </row>
    <row r="123">
      <c r="A123" s="15" t="n"/>
      <c r="C123" s="16" t="n"/>
      <c r="D123" s="16" t="n"/>
      <c r="G123" s="17" t="n"/>
    </row>
    <row r="124">
      <c r="A124" s="15" t="n"/>
      <c r="C124" s="16" t="n"/>
      <c r="D124" s="16" t="n"/>
      <c r="G124" s="17" t="n"/>
    </row>
    <row r="125">
      <c r="A125" s="15" t="n"/>
      <c r="C125" s="16" t="n"/>
      <c r="D125" s="16" t="n"/>
      <c r="G125" s="17" t="n"/>
    </row>
    <row r="126">
      <c r="A126" s="15" t="n"/>
      <c r="C126" s="16" t="n"/>
      <c r="D126" s="16" t="n"/>
      <c r="G126" s="17" t="n"/>
    </row>
    <row r="127">
      <c r="A127" s="15" t="n"/>
      <c r="C127" s="16" t="n"/>
      <c r="D127" s="16" t="n"/>
      <c r="G127" s="17" t="n"/>
    </row>
    <row r="128">
      <c r="A128" s="15" t="n"/>
      <c r="C128" s="16" t="n"/>
      <c r="D128" s="16" t="n"/>
      <c r="G128" s="17" t="n"/>
    </row>
    <row r="129">
      <c r="A129" s="15" t="n"/>
      <c r="C129" s="16" t="n"/>
      <c r="D129" s="16" t="n"/>
      <c r="G129" s="17" t="n"/>
    </row>
    <row r="130">
      <c r="A130" s="15" t="n"/>
      <c r="C130" s="16" t="n"/>
      <c r="D130" s="16" t="n"/>
      <c r="G130" s="17" t="n"/>
    </row>
    <row r="131">
      <c r="A131" s="15" t="n"/>
      <c r="C131" s="16" t="n"/>
      <c r="D131" s="16" t="n"/>
      <c r="G131" s="17" t="n"/>
    </row>
    <row r="132">
      <c r="A132" s="15" t="n"/>
      <c r="C132" s="16" t="n"/>
      <c r="D132" s="16" t="n"/>
      <c r="G132" s="17" t="n"/>
    </row>
    <row r="133">
      <c r="A133" s="15" t="n"/>
      <c r="C133" s="16" t="n"/>
      <c r="D133" s="16" t="n"/>
      <c r="G133" s="17" t="n"/>
    </row>
    <row r="134">
      <c r="A134" s="15" t="n"/>
      <c r="C134" s="16" t="n"/>
      <c r="D134" s="16" t="n"/>
      <c r="G134" s="17" t="n"/>
    </row>
    <row r="135">
      <c r="A135" s="15" t="n"/>
      <c r="C135" s="16" t="n"/>
      <c r="D135" s="16" t="n"/>
      <c r="G135" s="17" t="n"/>
    </row>
    <row r="136">
      <c r="A136" s="15" t="n"/>
      <c r="C136" s="16" t="n"/>
      <c r="D136" s="16" t="n"/>
      <c r="G136" s="17" t="n"/>
    </row>
    <row r="137">
      <c r="A137" s="15" t="n"/>
      <c r="C137" s="16" t="n"/>
      <c r="D137" s="16" t="n"/>
      <c r="G137" s="17" t="n"/>
    </row>
    <row r="138">
      <c r="A138" s="15" t="n"/>
      <c r="C138" s="16" t="n"/>
      <c r="D138" s="16" t="n"/>
      <c r="G138" s="17" t="n"/>
    </row>
    <row r="139">
      <c r="A139" s="15" t="n"/>
      <c r="C139" s="16" t="n"/>
      <c r="D139" s="16" t="n"/>
      <c r="G139" s="17" t="n"/>
    </row>
    <row r="140">
      <c r="A140" s="15" t="n"/>
      <c r="C140" s="16" t="n"/>
      <c r="D140" s="16" t="n"/>
      <c r="G140" s="17" t="n"/>
    </row>
    <row r="141">
      <c r="A141" s="15" t="n"/>
      <c r="C141" s="16" t="n"/>
      <c r="D141" s="16" t="n"/>
      <c r="G141" s="17" t="n"/>
    </row>
    <row r="142">
      <c r="A142" s="15" t="n"/>
      <c r="C142" s="16" t="n"/>
      <c r="D142" s="16" t="n"/>
      <c r="G142" s="17" t="n"/>
    </row>
    <row r="143">
      <c r="A143" s="15" t="n"/>
      <c r="C143" s="16" t="n"/>
      <c r="D143" s="16" t="n"/>
      <c r="G143" s="17" t="n"/>
    </row>
    <row r="144">
      <c r="A144" s="15" t="n"/>
      <c r="C144" s="16" t="n"/>
      <c r="D144" s="16" t="n"/>
      <c r="G144" s="17" t="n"/>
    </row>
    <row r="145">
      <c r="A145" s="15" t="n"/>
      <c r="C145" s="16" t="n"/>
      <c r="D145" s="16" t="n"/>
      <c r="G145" s="17" t="n"/>
    </row>
    <row r="146">
      <c r="A146" s="15" t="n"/>
      <c r="C146" s="16" t="n"/>
      <c r="D146" s="16" t="n"/>
      <c r="G146" s="17" t="n"/>
    </row>
    <row r="147">
      <c r="A147" s="15" t="n"/>
      <c r="C147" s="16" t="n"/>
      <c r="D147" s="16" t="n"/>
      <c r="G147" s="17" t="n"/>
    </row>
    <row r="148">
      <c r="A148" s="15" t="n"/>
      <c r="C148" s="16" t="n"/>
      <c r="D148" s="16" t="n"/>
      <c r="G148" s="17" t="n"/>
    </row>
    <row r="149">
      <c r="A149" s="15" t="n"/>
      <c r="C149" s="16" t="n"/>
      <c r="D149" s="16" t="n"/>
      <c r="G149" s="17" t="n"/>
    </row>
    <row r="150">
      <c r="A150" s="15" t="n"/>
      <c r="C150" s="16" t="n"/>
      <c r="D150" s="16" t="n"/>
      <c r="G150" s="17" t="n"/>
    </row>
    <row r="151">
      <c r="A151" s="15" t="n"/>
      <c r="C151" s="16" t="n"/>
      <c r="D151" s="16" t="n"/>
      <c r="G151" s="17" t="n"/>
    </row>
    <row r="152">
      <c r="A152" s="15" t="n"/>
      <c r="C152" s="16" t="n"/>
      <c r="D152" s="16" t="n"/>
      <c r="G152" s="17" t="n"/>
    </row>
    <row r="153">
      <c r="A153" s="15" t="n"/>
      <c r="C153" s="16" t="n"/>
      <c r="D153" s="16" t="n"/>
      <c r="G153" s="17" t="n"/>
    </row>
    <row r="154">
      <c r="A154" s="15" t="n"/>
      <c r="C154" s="16" t="n"/>
      <c r="D154" s="16" t="n"/>
      <c r="G154" s="17" t="n"/>
    </row>
    <row r="155">
      <c r="A155" s="15" t="n"/>
      <c r="C155" s="16" t="n"/>
      <c r="D155" s="16" t="n"/>
      <c r="G155" s="17" t="n"/>
    </row>
    <row r="156">
      <c r="A156" s="15" t="n"/>
      <c r="C156" s="16" t="n"/>
      <c r="D156" s="16" t="n"/>
      <c r="G156" s="17" t="n"/>
    </row>
    <row r="157">
      <c r="A157" s="15" t="n"/>
      <c r="C157" s="16" t="n"/>
      <c r="D157" s="16" t="n"/>
      <c r="G157" s="17" t="n"/>
    </row>
    <row r="158">
      <c r="A158" s="15" t="n"/>
      <c r="C158" s="16" t="n"/>
      <c r="D158" s="16" t="n"/>
      <c r="G158" s="17" t="n"/>
    </row>
    <row r="159">
      <c r="A159" s="15" t="n"/>
      <c r="C159" s="16" t="n"/>
      <c r="D159" s="16" t="n"/>
      <c r="G159" s="17" t="n"/>
    </row>
    <row r="160">
      <c r="A160" s="15" t="n"/>
      <c r="C160" s="16" t="n"/>
      <c r="D160" s="16" t="n"/>
      <c r="G160" s="17" t="n"/>
    </row>
    <row r="161">
      <c r="A161" s="15" t="n"/>
      <c r="C161" s="16" t="n"/>
      <c r="D161" s="16" t="n"/>
      <c r="G161" s="17" t="n"/>
    </row>
    <row r="162">
      <c r="A162" s="15" t="n"/>
      <c r="C162" s="16" t="n"/>
      <c r="D162" s="16" t="n"/>
      <c r="G162" s="17" t="n"/>
    </row>
    <row r="163">
      <c r="A163" s="15" t="n"/>
      <c r="C163" s="16" t="n"/>
      <c r="D163" s="16" t="n"/>
      <c r="G163" s="17" t="n"/>
    </row>
    <row r="164">
      <c r="A164" s="15" t="n"/>
      <c r="C164" s="16" t="n"/>
      <c r="D164" s="16" t="n"/>
      <c r="G164" s="17" t="n"/>
    </row>
    <row r="165">
      <c r="A165" s="15" t="n"/>
      <c r="C165" s="16" t="n"/>
      <c r="D165" s="16" t="n"/>
      <c r="G165" s="17" t="n"/>
    </row>
    <row r="166">
      <c r="A166" s="15" t="n"/>
      <c r="C166" s="16" t="n"/>
      <c r="D166" s="16" t="n"/>
      <c r="G166" s="17" t="n"/>
    </row>
    <row r="167">
      <c r="A167" s="15" t="n"/>
      <c r="C167" s="16" t="n"/>
      <c r="D167" s="16" t="n"/>
      <c r="G167" s="17" t="n"/>
    </row>
    <row r="168">
      <c r="A168" s="15" t="n"/>
      <c r="C168" s="16" t="n"/>
      <c r="D168" s="16" t="n"/>
      <c r="G168" s="17" t="n"/>
    </row>
    <row r="169">
      <c r="A169" s="15" t="n"/>
      <c r="C169" s="16" t="n"/>
      <c r="D169" s="16" t="n"/>
      <c r="G169" s="17" t="n"/>
    </row>
    <row r="170">
      <c r="A170" s="15" t="n"/>
      <c r="C170" s="16" t="n"/>
      <c r="D170" s="16" t="n"/>
      <c r="G170" s="17" t="n"/>
    </row>
    <row r="171">
      <c r="A171" s="15" t="n"/>
      <c r="C171" s="16" t="n"/>
      <c r="D171" s="16" t="n"/>
      <c r="G171" s="17" t="n"/>
    </row>
    <row r="172">
      <c r="A172" s="15" t="n"/>
      <c r="C172" s="16" t="n"/>
      <c r="D172" s="16" t="n"/>
      <c r="G172" s="17" t="n"/>
    </row>
    <row r="173">
      <c r="A173" s="15" t="n"/>
      <c r="C173" s="16" t="n"/>
      <c r="D173" s="16" t="n"/>
      <c r="G173" s="17" t="n"/>
    </row>
    <row r="174">
      <c r="A174" s="15" t="n"/>
      <c r="C174" s="16" t="n"/>
      <c r="D174" s="16" t="n"/>
      <c r="G174" s="17" t="n"/>
    </row>
    <row r="175">
      <c r="A175" s="15" t="n"/>
      <c r="C175" s="16" t="n"/>
      <c r="D175" s="16" t="n"/>
      <c r="G175" s="17" t="n"/>
    </row>
    <row r="176">
      <c r="A176" s="15" t="n"/>
      <c r="C176" s="16" t="n"/>
      <c r="D176" s="16" t="n"/>
      <c r="G176" s="17" t="n"/>
    </row>
    <row r="177">
      <c r="A177" s="15" t="n"/>
      <c r="C177" s="16" t="n"/>
      <c r="D177" s="16" t="n"/>
      <c r="G177" s="17" t="n"/>
    </row>
    <row r="178">
      <c r="A178" s="15" t="n"/>
      <c r="C178" s="16" t="n"/>
      <c r="D178" s="16" t="n"/>
      <c r="G178" s="17" t="n"/>
    </row>
    <row r="179">
      <c r="A179" s="15" t="n"/>
      <c r="C179" s="16" t="n"/>
      <c r="D179" s="16" t="n"/>
      <c r="G179" s="17" t="n"/>
    </row>
    <row r="180">
      <c r="A180" s="15" t="n"/>
      <c r="C180" s="16" t="n"/>
      <c r="D180" s="16" t="n"/>
      <c r="G180" s="17" t="n"/>
    </row>
    <row r="181">
      <c r="A181" s="15" t="n"/>
      <c r="C181" s="16" t="n"/>
      <c r="D181" s="16" t="n"/>
      <c r="G181" s="17" t="n"/>
    </row>
    <row r="182">
      <c r="A182" s="15" t="n"/>
      <c r="C182" s="16" t="n"/>
      <c r="D182" s="16" t="n"/>
      <c r="G182" s="17" t="n"/>
    </row>
    <row r="183">
      <c r="A183" s="15" t="n"/>
      <c r="C183" s="16" t="n"/>
      <c r="D183" s="16" t="n"/>
      <c r="G183" s="17" t="n"/>
    </row>
    <row r="184">
      <c r="A184" s="15" t="n"/>
      <c r="C184" s="16" t="n"/>
      <c r="D184" s="16" t="n"/>
      <c r="G184" s="17" t="n"/>
    </row>
    <row r="185">
      <c r="A185" s="15" t="n"/>
      <c r="C185" s="16" t="n"/>
      <c r="D185" s="16" t="n"/>
      <c r="G185" s="17" t="n"/>
    </row>
    <row r="186">
      <c r="A186" s="15" t="n"/>
      <c r="C186" s="16" t="n"/>
      <c r="D186" s="16" t="n"/>
      <c r="G186" s="17" t="n"/>
    </row>
    <row r="187">
      <c r="A187" s="15" t="n"/>
      <c r="C187" s="16" t="n"/>
      <c r="D187" s="16" t="n"/>
      <c r="G187" s="17" t="n"/>
    </row>
    <row r="188">
      <c r="A188" s="15" t="n"/>
      <c r="C188" s="16" t="n"/>
      <c r="D188" s="16" t="n"/>
      <c r="G188" s="17" t="n"/>
    </row>
    <row r="189">
      <c r="A189" s="15" t="n"/>
      <c r="C189" s="16" t="n"/>
      <c r="D189" s="16" t="n"/>
      <c r="G189" s="17" t="n"/>
    </row>
    <row r="190">
      <c r="A190" s="15" t="n"/>
      <c r="C190" s="16" t="n"/>
      <c r="D190" s="16" t="n"/>
      <c r="G190" s="17" t="n"/>
    </row>
    <row r="191">
      <c r="A191" s="15" t="n"/>
      <c r="C191" s="16" t="n"/>
      <c r="D191" s="16" t="n"/>
      <c r="G191" s="17" t="n"/>
    </row>
    <row r="192">
      <c r="A192" s="15" t="n"/>
      <c r="C192" s="16" t="n"/>
      <c r="D192" s="16" t="n"/>
      <c r="G192" s="17" t="n"/>
    </row>
    <row r="193">
      <c r="A193" s="15" t="n"/>
      <c r="C193" s="16" t="n"/>
      <c r="D193" s="16" t="n"/>
      <c r="G193" s="17" t="n"/>
    </row>
    <row r="194">
      <c r="A194" s="15" t="n"/>
      <c r="C194" s="16" t="n"/>
      <c r="D194" s="16" t="n"/>
      <c r="G194" s="17" t="n"/>
    </row>
    <row r="195">
      <c r="A195" s="15" t="n"/>
      <c r="C195" s="16" t="n"/>
      <c r="D195" s="16" t="n"/>
      <c r="G195" s="17" t="n"/>
    </row>
    <row r="196">
      <c r="A196" s="15" t="n"/>
      <c r="C196" s="16" t="n"/>
      <c r="D196" s="16" t="n"/>
      <c r="G196" s="17" t="n"/>
    </row>
    <row r="197">
      <c r="A197" s="15" t="n"/>
      <c r="C197" s="16" t="n"/>
      <c r="D197" s="16" t="n"/>
      <c r="G197" s="17" t="n"/>
    </row>
    <row r="198">
      <c r="A198" s="15" t="n"/>
      <c r="C198" s="16" t="n"/>
      <c r="D198" s="16" t="n"/>
      <c r="G198" s="17" t="n"/>
    </row>
    <row r="199">
      <c r="A199" s="15" t="n"/>
      <c r="C199" s="16" t="n"/>
      <c r="D199" s="16" t="n"/>
      <c r="G199" s="17" t="n"/>
    </row>
    <row r="200">
      <c r="A200" s="15" t="n"/>
      <c r="C200" s="16" t="n"/>
      <c r="D200" s="16" t="n"/>
      <c r="G200" s="17" t="n"/>
    </row>
    <row r="201">
      <c r="A201" s="15" t="n"/>
      <c r="C201" s="16" t="n"/>
      <c r="D201" s="16" t="n"/>
      <c r="G201" s="17" t="n"/>
    </row>
    <row r="202">
      <c r="A202" s="15" t="n"/>
      <c r="C202" s="16" t="n"/>
      <c r="D202" s="16" t="n"/>
      <c r="G202" s="17" t="n"/>
    </row>
    <row r="203">
      <c r="A203" s="15" t="n"/>
      <c r="C203" s="16" t="n"/>
      <c r="D203" s="16" t="n"/>
      <c r="G203" s="17" t="n"/>
    </row>
    <row r="204">
      <c r="A204" s="15" t="n"/>
      <c r="C204" s="16" t="n"/>
      <c r="D204" s="16" t="n"/>
      <c r="G204" s="17" t="n"/>
    </row>
    <row r="205">
      <c r="A205" s="15" t="n"/>
      <c r="C205" s="16" t="n"/>
      <c r="D205" s="16" t="n"/>
      <c r="G205" s="17" t="n"/>
    </row>
    <row r="206">
      <c r="A206" s="15" t="n"/>
      <c r="C206" s="16" t="n"/>
      <c r="D206" s="16" t="n"/>
      <c r="G206" s="17" t="n"/>
    </row>
    <row r="207">
      <c r="A207" s="15" t="n"/>
      <c r="C207" s="16" t="n"/>
      <c r="D207" s="16" t="n"/>
      <c r="G207" s="17" t="n"/>
    </row>
    <row r="208">
      <c r="A208" s="15" t="n"/>
      <c r="C208" s="16" t="n"/>
      <c r="D208" s="16" t="n"/>
      <c r="G208" s="17" t="n"/>
    </row>
    <row r="209">
      <c r="A209" s="15" t="n"/>
      <c r="C209" s="16" t="n"/>
      <c r="D209" s="16" t="n"/>
      <c r="G209" s="17" t="n"/>
    </row>
    <row r="210">
      <c r="A210" s="15" t="n"/>
      <c r="C210" s="16" t="n"/>
      <c r="D210" s="16" t="n"/>
      <c r="G210" s="17" t="n"/>
    </row>
    <row r="211">
      <c r="A211" s="15" t="n"/>
      <c r="C211" s="16" t="n"/>
      <c r="D211" s="16" t="n"/>
      <c r="G211" s="17" t="n"/>
    </row>
    <row r="212">
      <c r="A212" s="15" t="n"/>
      <c r="C212" s="16" t="n"/>
      <c r="D212" s="16" t="n"/>
      <c r="G212" s="17" t="n"/>
    </row>
    <row r="213">
      <c r="A213" s="15" t="n"/>
      <c r="C213" s="16" t="n"/>
      <c r="D213" s="16" t="n"/>
      <c r="G213" s="17" t="n"/>
    </row>
    <row r="214">
      <c r="A214" s="15" t="n"/>
      <c r="C214" s="16" t="n"/>
      <c r="D214" s="16" t="n"/>
      <c r="G214" s="17" t="n"/>
    </row>
    <row r="215">
      <c r="A215" s="15" t="n"/>
      <c r="C215" s="16" t="n"/>
      <c r="D215" s="16" t="n"/>
      <c r="G215" s="17" t="n"/>
    </row>
    <row r="216">
      <c r="A216" s="15" t="n"/>
      <c r="C216" s="16" t="n"/>
      <c r="D216" s="16" t="n"/>
      <c r="G216" s="17" t="n"/>
    </row>
    <row r="217">
      <c r="A217" s="15" t="n"/>
      <c r="C217" s="16" t="n"/>
      <c r="D217" s="16" t="n"/>
      <c r="G217" s="17" t="n"/>
    </row>
    <row r="218">
      <c r="A218" s="15" t="n"/>
      <c r="C218" s="16" t="n"/>
      <c r="D218" s="16" t="n"/>
      <c r="G218" s="17" t="n"/>
    </row>
    <row r="219">
      <c r="A219" s="15" t="n"/>
      <c r="C219" s="16" t="n"/>
      <c r="D219" s="16" t="n"/>
      <c r="G219" s="17" t="n"/>
    </row>
    <row r="220">
      <c r="A220" s="15" t="n"/>
      <c r="C220" s="16" t="n"/>
      <c r="D220" s="16" t="n"/>
      <c r="G220" s="17" t="n"/>
    </row>
    <row r="221">
      <c r="A221" s="15" t="n"/>
      <c r="C221" s="16" t="n"/>
      <c r="D221" s="16" t="n"/>
      <c r="G221" s="17" t="n"/>
    </row>
    <row r="222">
      <c r="A222" s="15" t="n"/>
      <c r="C222" s="16" t="n"/>
      <c r="D222" s="16" t="n"/>
      <c r="G222" s="17" t="n"/>
    </row>
    <row r="223">
      <c r="A223" s="15" t="n"/>
      <c r="C223" s="16" t="n"/>
      <c r="D223" s="16" t="n"/>
      <c r="G223" s="17" t="n"/>
    </row>
    <row r="224">
      <c r="A224" s="15" t="n"/>
      <c r="C224" s="16" t="n"/>
      <c r="D224" s="16" t="n"/>
      <c r="G224" s="17" t="n"/>
    </row>
    <row r="225">
      <c r="A225" s="15" t="n"/>
      <c r="C225" s="16" t="n"/>
      <c r="D225" s="16" t="n"/>
      <c r="G225" s="17" t="n"/>
    </row>
    <row r="226">
      <c r="A226" s="15" t="n"/>
      <c r="C226" s="16" t="n"/>
      <c r="D226" s="16" t="n"/>
      <c r="G226" s="17" t="n"/>
    </row>
    <row r="227">
      <c r="A227" s="15" t="n"/>
      <c r="C227" s="16" t="n"/>
      <c r="D227" s="16" t="n"/>
      <c r="G227" s="17" t="n"/>
    </row>
    <row r="228">
      <c r="A228" s="15" t="n"/>
      <c r="C228" s="16" t="n"/>
      <c r="D228" s="16" t="n"/>
      <c r="G228" s="17" t="n"/>
    </row>
    <row r="229">
      <c r="A229" s="15" t="n"/>
      <c r="C229" s="16" t="n"/>
      <c r="D229" s="16" t="n"/>
      <c r="G229" s="17" t="n"/>
    </row>
    <row r="230">
      <c r="A230" s="15" t="n"/>
      <c r="C230" s="16" t="n"/>
      <c r="D230" s="16" t="n"/>
      <c r="G230" s="17" t="n"/>
    </row>
    <row r="231">
      <c r="A231" s="15" t="n"/>
      <c r="C231" s="16" t="n"/>
      <c r="D231" s="16" t="n"/>
      <c r="G231" s="17" t="n"/>
    </row>
    <row r="232">
      <c r="A232" s="15" t="n"/>
      <c r="C232" s="16" t="n"/>
      <c r="D232" s="16" t="n"/>
      <c r="G232" s="17" t="n"/>
    </row>
    <row r="233">
      <c r="A233" s="15" t="n"/>
      <c r="C233" s="16" t="n"/>
      <c r="D233" s="16" t="n"/>
      <c r="G233" s="17" t="n"/>
    </row>
    <row r="234">
      <c r="A234" s="15" t="n"/>
      <c r="C234" s="16" t="n"/>
      <c r="D234" s="16" t="n"/>
      <c r="G234" s="17" t="n"/>
    </row>
    <row r="235">
      <c r="A235" s="15" t="n"/>
      <c r="C235" s="16" t="n"/>
      <c r="D235" s="16" t="n"/>
      <c r="G235" s="17" t="n"/>
    </row>
    <row r="236">
      <c r="A236" s="15" t="n"/>
      <c r="C236" s="16" t="n"/>
      <c r="D236" s="16" t="n"/>
      <c r="G236" s="17" t="n"/>
    </row>
    <row r="237">
      <c r="A237" s="15" t="n"/>
      <c r="C237" s="16" t="n"/>
      <c r="D237" s="16" t="n"/>
      <c r="G237" s="17" t="n"/>
    </row>
    <row r="238">
      <c r="A238" s="15" t="n"/>
      <c r="C238" s="16" t="n"/>
      <c r="D238" s="16" t="n"/>
      <c r="G238" s="17" t="n"/>
    </row>
    <row r="239">
      <c r="A239" s="15" t="n"/>
      <c r="C239" s="16" t="n"/>
      <c r="D239" s="16" t="n"/>
      <c r="G239" s="17" t="n"/>
    </row>
    <row r="240">
      <c r="A240" s="15" t="n"/>
      <c r="C240" s="16" t="n"/>
      <c r="D240" s="16" t="n"/>
      <c r="G240" s="17" t="n"/>
    </row>
    <row r="241">
      <c r="A241" s="15" t="n"/>
      <c r="C241" s="16" t="n"/>
      <c r="D241" s="16" t="n"/>
      <c r="G241" s="17" t="n"/>
    </row>
    <row r="242">
      <c r="A242" s="15" t="n"/>
      <c r="C242" s="16" t="n"/>
      <c r="D242" s="16" t="n"/>
      <c r="G242" s="17" t="n"/>
    </row>
    <row r="243">
      <c r="A243" s="15" t="n"/>
      <c r="C243" s="16" t="n"/>
      <c r="D243" s="16" t="n"/>
      <c r="G243" s="17" t="n"/>
    </row>
    <row r="244">
      <c r="A244" s="15" t="n"/>
      <c r="C244" s="16" t="n"/>
      <c r="D244" s="16" t="n"/>
      <c r="G244" s="17" t="n"/>
    </row>
    <row r="245">
      <c r="A245" s="15" t="n"/>
      <c r="C245" s="16" t="n"/>
      <c r="D245" s="16" t="n"/>
      <c r="G245" s="17" t="n"/>
    </row>
    <row r="246">
      <c r="A246" s="15" t="n"/>
      <c r="C246" s="16" t="n"/>
      <c r="D246" s="16" t="n"/>
      <c r="G246" s="17" t="n"/>
    </row>
    <row r="247">
      <c r="A247" s="15" t="n"/>
      <c r="C247" s="16" t="n"/>
      <c r="D247" s="16" t="n"/>
      <c r="G247" s="17" t="n"/>
    </row>
    <row r="248">
      <c r="A248" s="15" t="n"/>
      <c r="C248" s="16" t="n"/>
      <c r="D248" s="16" t="n"/>
      <c r="G248" s="17" t="n"/>
    </row>
    <row r="249">
      <c r="A249" s="15" t="n"/>
      <c r="C249" s="16" t="n"/>
      <c r="D249" s="16" t="n"/>
      <c r="G249" s="17" t="n"/>
    </row>
    <row r="250">
      <c r="A250" s="15" t="n"/>
      <c r="C250" s="16" t="n"/>
      <c r="D250" s="16" t="n"/>
      <c r="G250" s="17" t="n"/>
    </row>
    <row r="251">
      <c r="A251" s="15" t="n"/>
      <c r="C251" s="16" t="n"/>
      <c r="D251" s="16" t="n"/>
      <c r="G251" s="17" t="n"/>
    </row>
    <row r="252">
      <c r="A252" s="15" t="n"/>
      <c r="C252" s="16" t="n"/>
      <c r="D252" s="16" t="n"/>
      <c r="G252" s="17" t="n"/>
    </row>
    <row r="253">
      <c r="A253" s="15" t="n"/>
      <c r="C253" s="16" t="n"/>
      <c r="D253" s="16" t="n"/>
      <c r="G253" s="17" t="n"/>
    </row>
    <row r="254">
      <c r="A254" s="15" t="n"/>
      <c r="C254" s="16" t="n"/>
      <c r="D254" s="16" t="n"/>
      <c r="G254" s="17" t="n"/>
    </row>
    <row r="255">
      <c r="A255" s="15" t="n"/>
      <c r="C255" s="16" t="n"/>
      <c r="D255" s="16" t="n"/>
      <c r="G255" s="17" t="n"/>
    </row>
    <row r="256">
      <c r="A256" s="15" t="n"/>
      <c r="C256" s="16" t="n"/>
      <c r="D256" s="16" t="n"/>
      <c r="G256" s="17" t="n"/>
    </row>
    <row r="257">
      <c r="A257" s="15" t="n"/>
      <c r="C257" s="16" t="n"/>
      <c r="D257" s="16" t="n"/>
      <c r="G257" s="17" t="n"/>
    </row>
    <row r="258">
      <c r="A258" s="15" t="n"/>
      <c r="C258" s="16" t="n"/>
      <c r="D258" s="16" t="n"/>
      <c r="G258" s="17" t="n"/>
    </row>
    <row r="259">
      <c r="A259" s="15" t="n"/>
      <c r="C259" s="16" t="n"/>
      <c r="D259" s="16" t="n"/>
      <c r="G259" s="17" t="n"/>
    </row>
    <row r="260">
      <c r="A260" s="15" t="n"/>
      <c r="C260" s="16" t="n"/>
      <c r="D260" s="16" t="n"/>
      <c r="G260" s="17" t="n"/>
    </row>
    <row r="261">
      <c r="A261" s="15" t="n"/>
      <c r="C261" s="16" t="n"/>
      <c r="D261" s="16" t="n"/>
      <c r="G261" s="17" t="n"/>
    </row>
    <row r="262">
      <c r="A262" s="15" t="n"/>
      <c r="C262" s="16" t="n"/>
      <c r="D262" s="16" t="n"/>
      <c r="G262" s="17" t="n"/>
    </row>
    <row r="263">
      <c r="A263" s="15" t="n"/>
      <c r="C263" s="16" t="n"/>
      <c r="D263" s="16" t="n"/>
      <c r="G263" s="17" t="n"/>
    </row>
    <row r="264">
      <c r="A264" s="15" t="n"/>
      <c r="C264" s="16" t="n"/>
      <c r="D264" s="16" t="n"/>
      <c r="G264" s="17" t="n"/>
    </row>
    <row r="265">
      <c r="A265" s="15" t="n"/>
      <c r="C265" s="16" t="n"/>
      <c r="D265" s="16" t="n"/>
      <c r="G265" s="17" t="n"/>
    </row>
    <row r="266">
      <c r="A266" s="15" t="n"/>
      <c r="C266" s="16" t="n"/>
      <c r="D266" s="16" t="n"/>
      <c r="G266" s="17" t="n"/>
    </row>
    <row r="267">
      <c r="A267" s="15" t="n"/>
      <c r="C267" s="16" t="n"/>
      <c r="D267" s="16" t="n"/>
      <c r="G267" s="17" t="n"/>
    </row>
    <row r="268">
      <c r="A268" s="15" t="n"/>
      <c r="C268" s="16" t="n"/>
      <c r="D268" s="16" t="n"/>
      <c r="G268" s="17" t="n"/>
    </row>
    <row r="269">
      <c r="A269" s="15" t="n"/>
      <c r="C269" s="16" t="n"/>
      <c r="D269" s="16" t="n"/>
      <c r="G269" s="17" t="n"/>
    </row>
    <row r="270">
      <c r="A270" s="15" t="n"/>
      <c r="C270" s="16" t="n"/>
      <c r="D270" s="16" t="n"/>
      <c r="G270" s="17" t="n"/>
    </row>
    <row r="271">
      <c r="A271" s="15" t="n"/>
      <c r="C271" s="16" t="n"/>
      <c r="D271" s="16" t="n"/>
      <c r="G271" s="17" t="n"/>
    </row>
    <row r="272">
      <c r="A272" s="15" t="n"/>
      <c r="C272" s="16" t="n"/>
      <c r="D272" s="16" t="n"/>
      <c r="G272" s="17" t="n"/>
    </row>
    <row r="273">
      <c r="A273" s="15" t="n"/>
      <c r="C273" s="16" t="n"/>
      <c r="D273" s="16" t="n"/>
      <c r="G273" s="17" t="n"/>
    </row>
    <row r="274">
      <c r="A274" s="15" t="n"/>
      <c r="C274" s="16" t="n"/>
      <c r="D274" s="16" t="n"/>
      <c r="G274" s="17" t="n"/>
    </row>
    <row r="275">
      <c r="A275" s="15" t="n"/>
      <c r="C275" s="16" t="n"/>
      <c r="D275" s="16" t="n"/>
      <c r="G275" s="17" t="n"/>
    </row>
    <row r="276">
      <c r="A276" s="15" t="n"/>
      <c r="C276" s="16" t="n"/>
      <c r="D276" s="16" t="n"/>
      <c r="G276" s="17" t="n"/>
    </row>
    <row r="277">
      <c r="A277" s="15" t="n"/>
      <c r="C277" s="16" t="n"/>
      <c r="D277" s="16" t="n"/>
      <c r="G277" s="17" t="n"/>
    </row>
    <row r="278">
      <c r="A278" s="15" t="n"/>
      <c r="C278" s="16" t="n"/>
      <c r="D278" s="16" t="n"/>
      <c r="G278" s="17" t="n"/>
    </row>
    <row r="279">
      <c r="A279" s="15" t="n"/>
      <c r="C279" s="16" t="n"/>
      <c r="D279" s="16" t="n"/>
      <c r="G279" s="17" t="n"/>
    </row>
    <row r="280">
      <c r="A280" s="15" t="n"/>
      <c r="C280" s="16" t="n"/>
      <c r="D280" s="16" t="n"/>
      <c r="G280" s="17" t="n"/>
    </row>
    <row r="281">
      <c r="A281" s="15" t="n"/>
      <c r="C281" s="16" t="n"/>
      <c r="D281" s="16" t="n"/>
      <c r="G281" s="17" t="n"/>
    </row>
    <row r="282">
      <c r="A282" s="15" t="n"/>
      <c r="C282" s="16" t="n"/>
      <c r="D282" s="16" t="n"/>
      <c r="G282" s="17" t="n"/>
    </row>
    <row r="283">
      <c r="A283" s="15" t="n"/>
      <c r="C283" s="16" t="n"/>
      <c r="D283" s="16" t="n"/>
      <c r="G283" s="17" t="n"/>
    </row>
    <row r="284">
      <c r="A284" s="15" t="n"/>
      <c r="C284" s="16" t="n"/>
      <c r="D284" s="16" t="n"/>
      <c r="G284" s="17" t="n"/>
    </row>
    <row r="285">
      <c r="A285" s="15" t="n"/>
      <c r="C285" s="16" t="n"/>
      <c r="D285" s="16" t="n"/>
      <c r="G285" s="17" t="n"/>
    </row>
    <row r="286">
      <c r="A286" s="15" t="n"/>
      <c r="C286" s="16" t="n"/>
      <c r="D286" s="16" t="n"/>
      <c r="G286" s="17" t="n"/>
    </row>
    <row r="287">
      <c r="A287" s="15" t="n"/>
      <c r="C287" s="16" t="n"/>
      <c r="D287" s="16" t="n"/>
      <c r="G287" s="17" t="n"/>
    </row>
    <row r="288">
      <c r="A288" s="15" t="n"/>
      <c r="C288" s="16" t="n"/>
      <c r="D288" s="16" t="n"/>
      <c r="G288" s="17" t="n"/>
    </row>
    <row r="289">
      <c r="A289" s="15" t="n"/>
      <c r="C289" s="16" t="n"/>
      <c r="D289" s="16" t="n"/>
      <c r="G289" s="17" t="n"/>
    </row>
    <row r="290">
      <c r="A290" s="15" t="n"/>
      <c r="C290" s="16" t="n"/>
      <c r="D290" s="16" t="n"/>
      <c r="G290" s="17" t="n"/>
    </row>
    <row r="291">
      <c r="A291" s="15" t="n"/>
      <c r="C291" s="16" t="n"/>
      <c r="D291" s="16" t="n"/>
      <c r="G291" s="17" t="n"/>
    </row>
    <row r="292">
      <c r="A292" s="15" t="n"/>
      <c r="C292" s="16" t="n"/>
      <c r="D292" s="16" t="n"/>
      <c r="G292" s="17" t="n"/>
    </row>
    <row r="293">
      <c r="A293" s="15" t="n"/>
      <c r="C293" s="16" t="n"/>
      <c r="D293" s="16" t="n"/>
      <c r="G293" s="17" t="n"/>
    </row>
    <row r="294">
      <c r="A294" s="15" t="n"/>
      <c r="C294" s="16" t="n"/>
      <c r="D294" s="16" t="n"/>
      <c r="G294" s="17" t="n"/>
    </row>
    <row r="295">
      <c r="A295" s="15" t="n"/>
      <c r="C295" s="16" t="n"/>
      <c r="D295" s="16" t="n"/>
      <c r="G295" s="17" t="n"/>
    </row>
    <row r="296">
      <c r="A296" s="15" t="n"/>
      <c r="C296" s="16" t="n"/>
      <c r="D296" s="16" t="n"/>
      <c r="G296" s="17" t="n"/>
    </row>
    <row r="297">
      <c r="A297" s="15" t="n"/>
      <c r="C297" s="16" t="n"/>
      <c r="D297" s="16" t="n"/>
      <c r="G297" s="17" t="n"/>
    </row>
    <row r="298">
      <c r="A298" s="15" t="n"/>
      <c r="C298" s="16" t="n"/>
      <c r="D298" s="16" t="n"/>
      <c r="G298" s="17" t="n"/>
    </row>
    <row r="299">
      <c r="A299" s="15" t="n"/>
      <c r="C299" s="16" t="n"/>
      <c r="D299" s="16" t="n"/>
      <c r="G299" s="17" t="n"/>
    </row>
    <row r="300">
      <c r="A300" s="15" t="n"/>
      <c r="C300" s="16" t="n"/>
      <c r="D300" s="16" t="n"/>
      <c r="G300" s="17" t="n"/>
    </row>
    <row r="301">
      <c r="A301" s="15" t="n"/>
      <c r="C301" s="16" t="n"/>
      <c r="D301" s="16" t="n"/>
      <c r="G301" s="17" t="n"/>
    </row>
    <row r="302">
      <c r="A302" s="15" t="n"/>
      <c r="C302" s="16" t="n"/>
      <c r="D302" s="16" t="n"/>
      <c r="G302" s="17" t="n"/>
    </row>
    <row r="303">
      <c r="A303" s="15" t="n"/>
      <c r="C303" s="16" t="n"/>
      <c r="D303" s="16" t="n"/>
      <c r="G303" s="17" t="n"/>
    </row>
    <row r="304">
      <c r="A304" s="15" t="n"/>
      <c r="C304" s="16" t="n"/>
      <c r="D304" s="16" t="n"/>
      <c r="G304" s="17" t="n"/>
    </row>
    <row r="305">
      <c r="A305" s="15" t="n"/>
      <c r="C305" s="16" t="n"/>
      <c r="D305" s="16" t="n"/>
      <c r="G305" s="17" t="n"/>
    </row>
    <row r="306">
      <c r="A306" s="15" t="n"/>
      <c r="C306" s="16" t="n"/>
      <c r="D306" s="16" t="n"/>
      <c r="G306" s="17" t="n"/>
    </row>
    <row r="307">
      <c r="A307" s="15" t="n"/>
      <c r="C307" s="16" t="n"/>
      <c r="D307" s="16" t="n"/>
      <c r="G307" s="17" t="n"/>
    </row>
    <row r="308">
      <c r="A308" s="15" t="n"/>
      <c r="C308" s="16" t="n"/>
      <c r="D308" s="16" t="n"/>
      <c r="G308" s="17" t="n"/>
    </row>
    <row r="309">
      <c r="A309" s="15" t="n"/>
      <c r="C309" s="16" t="n"/>
      <c r="D309" s="16" t="n"/>
      <c r="G309" s="17" t="n"/>
    </row>
    <row r="310">
      <c r="A310" s="15" t="n"/>
      <c r="C310" s="16" t="n"/>
      <c r="D310" s="16" t="n"/>
      <c r="G310" s="17" t="n"/>
    </row>
    <row r="311">
      <c r="A311" s="15" t="n"/>
      <c r="C311" s="16" t="n"/>
      <c r="D311" s="16" t="n"/>
      <c r="G311" s="17" t="n"/>
    </row>
    <row r="312">
      <c r="A312" s="15" t="n"/>
      <c r="C312" s="16" t="n"/>
      <c r="D312" s="16" t="n"/>
      <c r="G312" s="17" t="n"/>
    </row>
    <row r="313">
      <c r="A313" s="15" t="n"/>
      <c r="C313" s="16" t="n"/>
      <c r="D313" s="16" t="n"/>
      <c r="G313" s="17" t="n"/>
    </row>
    <row r="314">
      <c r="A314" s="15" t="n"/>
      <c r="C314" s="16" t="n"/>
      <c r="D314" s="16" t="n"/>
      <c r="G314" s="17" t="n"/>
    </row>
    <row r="315">
      <c r="A315" s="15" t="n"/>
      <c r="C315" s="16" t="n"/>
      <c r="D315" s="16" t="n"/>
      <c r="G315" s="17" t="n"/>
    </row>
    <row r="316">
      <c r="A316" s="15" t="n"/>
      <c r="C316" s="16" t="n"/>
      <c r="D316" s="16" t="n"/>
      <c r="G316" s="17" t="n"/>
    </row>
    <row r="317">
      <c r="A317" s="15" t="n"/>
      <c r="C317" s="16" t="n"/>
      <c r="D317" s="16" t="n"/>
      <c r="G317" s="17" t="n"/>
    </row>
    <row r="318">
      <c r="A318" s="15" t="n"/>
      <c r="C318" s="16" t="n"/>
      <c r="D318" s="16" t="n"/>
      <c r="G318" s="17" t="n"/>
    </row>
    <row r="319">
      <c r="A319" s="15" t="n"/>
      <c r="C319" s="16" t="n"/>
      <c r="D319" s="16" t="n"/>
      <c r="G319" s="17" t="n"/>
    </row>
    <row r="320">
      <c r="A320" s="15" t="n"/>
      <c r="C320" s="16" t="n"/>
      <c r="D320" s="16" t="n"/>
      <c r="G320" s="17" t="n"/>
    </row>
    <row r="321">
      <c r="A321" s="15" t="n"/>
      <c r="C321" s="16" t="n"/>
      <c r="D321" s="16" t="n"/>
      <c r="G321" s="17" t="n"/>
    </row>
    <row r="322">
      <c r="A322" s="15" t="n"/>
      <c r="C322" s="16" t="n"/>
      <c r="D322" s="16" t="n"/>
      <c r="G322" s="17" t="n"/>
    </row>
    <row r="323">
      <c r="A323" s="15" t="n"/>
      <c r="C323" s="16" t="n"/>
      <c r="D323" s="16" t="n"/>
      <c r="G323" s="17" t="n"/>
    </row>
    <row r="324">
      <c r="A324" s="15" t="n"/>
      <c r="C324" s="16" t="n"/>
      <c r="D324" s="16" t="n"/>
      <c r="G324" s="17" t="n"/>
    </row>
    <row r="325">
      <c r="A325" s="15" t="n"/>
      <c r="C325" s="16" t="n"/>
      <c r="D325" s="16" t="n"/>
      <c r="G325" s="17" t="n"/>
    </row>
    <row r="326">
      <c r="A326" s="15" t="n"/>
      <c r="C326" s="16" t="n"/>
      <c r="D326" s="16" t="n"/>
      <c r="G326" s="17" t="n"/>
    </row>
    <row r="327">
      <c r="A327" s="15" t="n"/>
      <c r="C327" s="16" t="n"/>
      <c r="D327" s="16" t="n"/>
      <c r="G327" s="17" t="n"/>
    </row>
    <row r="328">
      <c r="A328" s="15" t="n"/>
      <c r="C328" s="16" t="n"/>
      <c r="D328" s="16" t="n"/>
      <c r="G328" s="17" t="n"/>
    </row>
    <row r="329">
      <c r="A329" s="15" t="n"/>
      <c r="C329" s="16" t="n"/>
      <c r="D329" s="16" t="n"/>
      <c r="G329" s="17" t="n"/>
    </row>
    <row r="330">
      <c r="A330" s="15" t="n"/>
      <c r="C330" s="16" t="n"/>
      <c r="D330" s="16" t="n"/>
      <c r="G330" s="17" t="n"/>
    </row>
    <row r="331">
      <c r="A331" s="15" t="n"/>
      <c r="C331" s="16" t="n"/>
      <c r="D331" s="16" t="n"/>
      <c r="G331" s="17" t="n"/>
    </row>
    <row r="332">
      <c r="A332" s="15" t="n"/>
      <c r="C332" s="16" t="n"/>
      <c r="D332" s="16" t="n"/>
      <c r="G332" s="17" t="n"/>
    </row>
    <row r="333">
      <c r="A333" s="15" t="n"/>
      <c r="C333" s="16" t="n"/>
      <c r="D333" s="16" t="n"/>
      <c r="G333" s="17" t="n"/>
    </row>
    <row r="334">
      <c r="A334" s="15" t="n"/>
      <c r="C334" s="16" t="n"/>
      <c r="D334" s="16" t="n"/>
      <c r="G334" s="17" t="n"/>
    </row>
    <row r="335">
      <c r="A335" s="15" t="n"/>
      <c r="C335" s="16" t="n"/>
      <c r="D335" s="16" t="n"/>
      <c r="G335" s="17" t="n"/>
    </row>
    <row r="336">
      <c r="A336" s="15" t="n"/>
      <c r="C336" s="16" t="n"/>
      <c r="D336" s="16" t="n"/>
      <c r="G336" s="17" t="n"/>
    </row>
    <row r="337">
      <c r="A337" s="15" t="n"/>
      <c r="C337" s="16" t="n"/>
      <c r="D337" s="16" t="n"/>
      <c r="G337" s="17" t="n"/>
    </row>
    <row r="338">
      <c r="A338" s="15" t="n"/>
      <c r="C338" s="16" t="n"/>
      <c r="D338" s="16" t="n"/>
      <c r="G338" s="17" t="n"/>
    </row>
    <row r="339">
      <c r="A339" s="15" t="n"/>
      <c r="C339" s="16" t="n"/>
      <c r="D339" s="16" t="n"/>
      <c r="G339" s="17" t="n"/>
    </row>
    <row r="340">
      <c r="A340" s="15" t="n"/>
      <c r="C340" s="16" t="n"/>
      <c r="D340" s="16" t="n"/>
      <c r="G340" s="17" t="n"/>
    </row>
    <row r="341">
      <c r="A341" s="15" t="n"/>
      <c r="C341" s="16" t="n"/>
      <c r="D341" s="16" t="n"/>
      <c r="G341" s="17" t="n"/>
    </row>
    <row r="342">
      <c r="A342" s="15" t="n"/>
      <c r="C342" s="16" t="n"/>
      <c r="D342" s="16" t="n"/>
      <c r="G342" s="17" t="n"/>
    </row>
    <row r="343">
      <c r="A343" s="15" t="n"/>
      <c r="C343" s="16" t="n"/>
      <c r="D343" s="16" t="n"/>
      <c r="G343" s="17" t="n"/>
    </row>
    <row r="344">
      <c r="A344" s="15" t="n"/>
      <c r="C344" s="16" t="n"/>
      <c r="D344" s="16" t="n"/>
      <c r="G344" s="17" t="n"/>
    </row>
    <row r="345">
      <c r="A345" s="15" t="n"/>
      <c r="C345" s="16" t="n"/>
      <c r="D345" s="16" t="n"/>
      <c r="G345" s="17" t="n"/>
    </row>
    <row r="346">
      <c r="A346" s="15" t="n"/>
      <c r="C346" s="16" t="n"/>
      <c r="D346" s="16" t="n"/>
      <c r="G346" s="17" t="n"/>
    </row>
    <row r="347">
      <c r="A347" s="15" t="n"/>
      <c r="C347" s="16" t="n"/>
      <c r="D347" s="16" t="n"/>
      <c r="G347" s="17" t="n"/>
    </row>
    <row r="348">
      <c r="A348" s="15" t="n"/>
      <c r="C348" s="16" t="n"/>
      <c r="D348" s="16" t="n"/>
      <c r="G348" s="17" t="n"/>
    </row>
    <row r="349">
      <c r="A349" s="15" t="n"/>
      <c r="C349" s="16" t="n"/>
      <c r="D349" s="16" t="n"/>
      <c r="G349" s="17" t="n"/>
    </row>
    <row r="350">
      <c r="A350" s="15" t="n"/>
      <c r="C350" s="16" t="n"/>
      <c r="D350" s="16" t="n"/>
      <c r="G350" s="17" t="n"/>
    </row>
    <row r="351">
      <c r="A351" s="15" t="n"/>
      <c r="C351" s="16" t="n"/>
      <c r="D351" s="16" t="n"/>
      <c r="G351" s="17" t="n"/>
    </row>
    <row r="352">
      <c r="A352" s="15" t="n"/>
      <c r="C352" s="16" t="n"/>
      <c r="D352" s="16" t="n"/>
      <c r="G352" s="17" t="n"/>
    </row>
    <row r="353">
      <c r="A353" s="15" t="n"/>
      <c r="C353" s="16" t="n"/>
      <c r="D353" s="16" t="n"/>
      <c r="G353" s="17" t="n"/>
    </row>
    <row r="354">
      <c r="A354" s="15" t="n"/>
      <c r="C354" s="16" t="n"/>
      <c r="D354" s="16" t="n"/>
      <c r="G354" s="17" t="n"/>
    </row>
    <row r="355">
      <c r="A355" s="15" t="n"/>
      <c r="C355" s="16" t="n"/>
      <c r="D355" s="16" t="n"/>
      <c r="G355" s="17" t="n"/>
    </row>
    <row r="356">
      <c r="A356" s="15" t="n"/>
      <c r="C356" s="16" t="n"/>
      <c r="D356" s="16" t="n"/>
      <c r="G356" s="17" t="n"/>
    </row>
    <row r="357">
      <c r="A357" s="15" t="n"/>
      <c r="C357" s="16" t="n"/>
      <c r="D357" s="16" t="n"/>
      <c r="G357" s="17" t="n"/>
    </row>
    <row r="358">
      <c r="A358" s="15" t="n"/>
      <c r="C358" s="16" t="n"/>
      <c r="D358" s="16" t="n"/>
      <c r="G358" s="17" t="n"/>
    </row>
    <row r="359">
      <c r="A359" s="15" t="n"/>
      <c r="C359" s="16" t="n"/>
      <c r="D359" s="16" t="n"/>
      <c r="G359" s="17" t="n"/>
    </row>
    <row r="360">
      <c r="A360" s="15" t="n"/>
      <c r="C360" s="16" t="n"/>
      <c r="D360" s="16" t="n"/>
      <c r="G360" s="17" t="n"/>
    </row>
    <row r="361">
      <c r="A361" s="15" t="n"/>
      <c r="C361" s="16" t="n"/>
      <c r="D361" s="16" t="n"/>
      <c r="G361" s="17" t="n"/>
    </row>
    <row r="362">
      <c r="A362" s="15" t="n"/>
      <c r="C362" s="16" t="n"/>
      <c r="D362" s="16" t="n"/>
      <c r="G362" s="17" t="n"/>
    </row>
    <row r="363">
      <c r="A363" s="15" t="n"/>
      <c r="C363" s="16" t="n"/>
      <c r="D363" s="16" t="n"/>
      <c r="G363" s="17" t="n"/>
    </row>
    <row r="364">
      <c r="A364" s="15" t="n"/>
      <c r="C364" s="16" t="n"/>
      <c r="D364" s="16" t="n"/>
      <c r="G364" s="17" t="n"/>
    </row>
    <row r="365">
      <c r="A365" s="15" t="n"/>
      <c r="C365" s="16" t="n"/>
      <c r="D365" s="16" t="n"/>
      <c r="G365" s="17" t="n"/>
    </row>
    <row r="366">
      <c r="A366" s="15" t="n"/>
      <c r="C366" s="16" t="n"/>
      <c r="D366" s="16" t="n"/>
      <c r="G366" s="17" t="n"/>
    </row>
    <row r="367">
      <c r="A367" s="15" t="n"/>
      <c r="C367" s="16" t="n"/>
      <c r="D367" s="16" t="n"/>
      <c r="G367" s="17" t="n"/>
    </row>
    <row r="368">
      <c r="A368" s="15" t="n"/>
      <c r="C368" s="16" t="n"/>
      <c r="D368" s="16" t="n"/>
      <c r="G368" s="17" t="n"/>
    </row>
    <row r="369">
      <c r="A369" s="15" t="n"/>
      <c r="C369" s="16" t="n"/>
      <c r="D369" s="16" t="n"/>
      <c r="G369" s="17" t="n"/>
    </row>
    <row r="370">
      <c r="A370" s="15" t="n"/>
      <c r="C370" s="16" t="n"/>
      <c r="D370" s="16" t="n"/>
      <c r="G370" s="17" t="n"/>
    </row>
    <row r="371">
      <c r="A371" s="15" t="n"/>
      <c r="C371" s="16" t="n"/>
      <c r="D371" s="16" t="n"/>
      <c r="G371" s="17" t="n"/>
    </row>
    <row r="372">
      <c r="A372" s="15" t="n"/>
      <c r="C372" s="16" t="n"/>
      <c r="D372" s="16" t="n"/>
      <c r="G372" s="17" t="n"/>
    </row>
    <row r="373">
      <c r="A373" s="15" t="n"/>
      <c r="C373" s="16" t="n"/>
      <c r="D373" s="16" t="n"/>
      <c r="G373" s="17" t="n"/>
    </row>
    <row r="374">
      <c r="A374" s="15" t="n"/>
      <c r="C374" s="16" t="n"/>
      <c r="D374" s="16" t="n"/>
      <c r="G374" s="17" t="n"/>
    </row>
    <row r="375">
      <c r="A375" s="15" t="n"/>
      <c r="C375" s="16" t="n"/>
      <c r="D375" s="16" t="n"/>
      <c r="G375" s="17" t="n"/>
    </row>
    <row r="376">
      <c r="A376" s="15" t="n"/>
      <c r="C376" s="16" t="n"/>
      <c r="D376" s="16" t="n"/>
      <c r="G376" s="17" t="n"/>
    </row>
    <row r="377">
      <c r="A377" s="15" t="n"/>
      <c r="C377" s="16" t="n"/>
      <c r="D377" s="16" t="n"/>
      <c r="G377" s="17" t="n"/>
    </row>
    <row r="378">
      <c r="A378" s="15" t="n"/>
      <c r="C378" s="16" t="n"/>
      <c r="D378" s="16" t="n"/>
      <c r="G378" s="17" t="n"/>
    </row>
    <row r="379">
      <c r="A379" s="15" t="n"/>
      <c r="C379" s="16" t="n"/>
      <c r="D379" s="16" t="n"/>
      <c r="G379" s="17" t="n"/>
    </row>
    <row r="380">
      <c r="A380" s="15" t="n"/>
      <c r="C380" s="16" t="n"/>
      <c r="D380" s="16" t="n"/>
      <c r="G380" s="17" t="n"/>
    </row>
    <row r="381">
      <c r="A381" s="15" t="n"/>
      <c r="C381" s="16" t="n"/>
      <c r="D381" s="16" t="n"/>
      <c r="G381" s="17" t="n"/>
    </row>
    <row r="382">
      <c r="A382" s="15" t="n"/>
      <c r="C382" s="16" t="n"/>
      <c r="D382" s="16" t="n"/>
      <c r="G382" s="17" t="n"/>
    </row>
    <row r="383">
      <c r="A383" s="15" t="n"/>
      <c r="C383" s="16" t="n"/>
      <c r="D383" s="16" t="n"/>
      <c r="G383" s="17" t="n"/>
    </row>
    <row r="384">
      <c r="A384" s="15" t="n"/>
      <c r="C384" s="16" t="n"/>
      <c r="D384" s="16" t="n"/>
      <c r="G384" s="17" t="n"/>
    </row>
    <row r="385">
      <c r="A385" s="15" t="n"/>
      <c r="C385" s="16" t="n"/>
      <c r="D385" s="16" t="n"/>
      <c r="G385" s="17" t="n"/>
    </row>
    <row r="386">
      <c r="A386" s="15" t="n"/>
      <c r="C386" s="16" t="n"/>
      <c r="D386" s="16" t="n"/>
      <c r="G386" s="17" t="n"/>
    </row>
    <row r="387">
      <c r="A387" s="15" t="n"/>
      <c r="C387" s="16" t="n"/>
      <c r="D387" s="16" t="n"/>
      <c r="G387" s="17" t="n"/>
    </row>
    <row r="388">
      <c r="A388" s="15" t="n"/>
      <c r="C388" s="16" t="n"/>
      <c r="D388" s="16" t="n"/>
      <c r="G388" s="17" t="n"/>
    </row>
    <row r="389">
      <c r="A389" s="15" t="n"/>
      <c r="C389" s="16" t="n"/>
      <c r="D389" s="16" t="n"/>
      <c r="G389" s="17" t="n"/>
    </row>
    <row r="390">
      <c r="A390" s="15" t="n"/>
      <c r="C390" s="16" t="n"/>
      <c r="D390" s="16" t="n"/>
      <c r="G390" s="17" t="n"/>
    </row>
    <row r="391">
      <c r="A391" s="15" t="n"/>
      <c r="C391" s="16" t="n"/>
      <c r="D391" s="16" t="n"/>
      <c r="G391" s="17" t="n"/>
    </row>
    <row r="392">
      <c r="A392" s="15" t="n"/>
      <c r="C392" s="16" t="n"/>
      <c r="D392" s="16" t="n"/>
      <c r="G392" s="17" t="n"/>
    </row>
    <row r="393">
      <c r="A393" s="15" t="n"/>
      <c r="C393" s="16" t="n"/>
      <c r="D393" s="16" t="n"/>
      <c r="G393" s="17" t="n"/>
    </row>
    <row r="394">
      <c r="A394" s="15" t="n"/>
      <c r="C394" s="16" t="n"/>
      <c r="D394" s="16" t="n"/>
      <c r="G394" s="17" t="n"/>
    </row>
    <row r="395">
      <c r="A395" s="15" t="n"/>
      <c r="C395" s="16" t="n"/>
      <c r="D395" s="16" t="n"/>
      <c r="G395" s="17" t="n"/>
    </row>
    <row r="396">
      <c r="A396" s="15" t="n"/>
      <c r="C396" s="16" t="n"/>
      <c r="D396" s="16" t="n"/>
      <c r="G396" s="17" t="n"/>
    </row>
    <row r="397">
      <c r="A397" s="15" t="n"/>
      <c r="C397" s="16" t="n"/>
      <c r="D397" s="16" t="n"/>
      <c r="G397" s="17" t="n"/>
    </row>
    <row r="398">
      <c r="A398" s="15" t="n"/>
      <c r="C398" s="16" t="n"/>
      <c r="D398" s="16" t="n"/>
      <c r="G398" s="17" t="n"/>
    </row>
    <row r="399">
      <c r="A399" s="15" t="n"/>
      <c r="C399" s="16" t="n"/>
      <c r="D399" s="16" t="n"/>
      <c r="G399" s="17" t="n"/>
    </row>
    <row r="400">
      <c r="A400" s="15" t="n"/>
      <c r="C400" s="16" t="n"/>
      <c r="D400" s="16" t="n"/>
      <c r="G400" s="17" t="n"/>
    </row>
    <row r="401">
      <c r="A401" s="15" t="n"/>
      <c r="C401" s="16" t="n"/>
      <c r="D401" s="16" t="n"/>
      <c r="G401" s="17" t="n"/>
    </row>
    <row r="402">
      <c r="A402" s="15" t="n"/>
      <c r="C402" s="16" t="n"/>
      <c r="D402" s="16" t="n"/>
      <c r="G402" s="17" t="n"/>
    </row>
    <row r="403">
      <c r="A403" s="15" t="n"/>
      <c r="C403" s="16" t="n"/>
      <c r="D403" s="16" t="n"/>
      <c r="G403" s="17" t="n"/>
    </row>
    <row r="404">
      <c r="A404" s="15" t="n"/>
      <c r="C404" s="16" t="n"/>
      <c r="D404" s="16" t="n"/>
      <c r="G404" s="17" t="n"/>
    </row>
    <row r="405">
      <c r="A405" s="15" t="n"/>
      <c r="C405" s="16" t="n"/>
      <c r="D405" s="16" t="n"/>
      <c r="G405" s="17" t="n"/>
    </row>
    <row r="406">
      <c r="A406" s="15" t="n"/>
      <c r="C406" s="16" t="n"/>
      <c r="D406" s="16" t="n"/>
      <c r="G406" s="17" t="n"/>
    </row>
    <row r="407">
      <c r="A407" s="15" t="n"/>
      <c r="C407" s="16" t="n"/>
      <c r="D407" s="16" t="n"/>
      <c r="G407" s="17" t="n"/>
    </row>
    <row r="408">
      <c r="A408" s="15" t="n"/>
      <c r="C408" s="16" t="n"/>
      <c r="D408" s="16" t="n"/>
      <c r="G408" s="17" t="n"/>
    </row>
    <row r="409">
      <c r="A409" s="15" t="n"/>
      <c r="C409" s="16" t="n"/>
      <c r="D409" s="16" t="n"/>
      <c r="G409" s="17" t="n"/>
    </row>
    <row r="410">
      <c r="A410" s="15" t="n"/>
      <c r="C410" s="16" t="n"/>
      <c r="D410" s="16" t="n"/>
      <c r="G410" s="17" t="n"/>
    </row>
    <row r="411">
      <c r="A411" s="15" t="n"/>
      <c r="C411" s="16" t="n"/>
      <c r="D411" s="16" t="n"/>
      <c r="G411" s="17" t="n"/>
    </row>
    <row r="412">
      <c r="A412" s="15" t="n"/>
      <c r="C412" s="16" t="n"/>
      <c r="D412" s="16" t="n"/>
      <c r="G412" s="17" t="n"/>
    </row>
    <row r="413">
      <c r="A413" s="15" t="n"/>
      <c r="C413" s="16" t="n"/>
      <c r="D413" s="16" t="n"/>
      <c r="G413" s="17" t="n"/>
    </row>
    <row r="414">
      <c r="A414" s="15" t="n"/>
      <c r="C414" s="16" t="n"/>
      <c r="D414" s="16" t="n"/>
      <c r="G414" s="17" t="n"/>
    </row>
    <row r="415">
      <c r="A415" s="15" t="n"/>
      <c r="C415" s="16" t="n"/>
      <c r="D415" s="16" t="n"/>
      <c r="G415" s="17" t="n"/>
    </row>
    <row r="416">
      <c r="A416" s="15" t="n"/>
      <c r="C416" s="16" t="n"/>
      <c r="D416" s="16" t="n"/>
      <c r="G416" s="17" t="n"/>
    </row>
    <row r="417">
      <c r="A417" s="15" t="n"/>
      <c r="C417" s="16" t="n"/>
      <c r="D417" s="16" t="n"/>
      <c r="G417" s="17" t="n"/>
    </row>
    <row r="418">
      <c r="A418" s="15" t="n"/>
      <c r="C418" s="16" t="n"/>
      <c r="D418" s="16" t="n"/>
      <c r="G418" s="17" t="n"/>
    </row>
    <row r="419">
      <c r="A419" s="15" t="n"/>
      <c r="C419" s="16" t="n"/>
      <c r="D419" s="16" t="n"/>
      <c r="G419" s="17" t="n"/>
    </row>
    <row r="420">
      <c r="A420" s="15" t="n"/>
      <c r="C420" s="16" t="n"/>
      <c r="D420" s="16" t="n"/>
      <c r="G420" s="17" t="n"/>
    </row>
    <row r="421">
      <c r="A421" s="15" t="n"/>
      <c r="C421" s="16" t="n"/>
      <c r="D421" s="16" t="n"/>
      <c r="G421" s="17" t="n"/>
    </row>
    <row r="422">
      <c r="A422" s="15" t="n"/>
      <c r="C422" s="16" t="n"/>
      <c r="D422" s="16" t="n"/>
      <c r="G422" s="17" t="n"/>
    </row>
    <row r="423">
      <c r="A423" s="15" t="n"/>
      <c r="C423" s="16" t="n"/>
      <c r="D423" s="16" t="n"/>
      <c r="G423" s="17" t="n"/>
    </row>
    <row r="424">
      <c r="A424" s="15" t="n"/>
      <c r="C424" s="16" t="n"/>
      <c r="D424" s="16" t="n"/>
      <c r="G424" s="17" t="n"/>
    </row>
    <row r="425">
      <c r="A425" s="15" t="n"/>
      <c r="C425" s="16" t="n"/>
      <c r="D425" s="16" t="n"/>
      <c r="G425" s="17" t="n"/>
    </row>
    <row r="426">
      <c r="A426" s="15" t="n"/>
      <c r="C426" s="16" t="n"/>
      <c r="D426" s="16" t="n"/>
      <c r="G426" s="17" t="n"/>
    </row>
    <row r="427">
      <c r="A427" s="15" t="n"/>
      <c r="C427" s="16" t="n"/>
      <c r="D427" s="16" t="n"/>
      <c r="G427" s="17" t="n"/>
    </row>
    <row r="428">
      <c r="A428" s="15" t="n"/>
      <c r="C428" s="16" t="n"/>
      <c r="D428" s="16" t="n"/>
      <c r="G428" s="17" t="n"/>
    </row>
    <row r="429">
      <c r="A429" s="15" t="n"/>
      <c r="C429" s="16" t="n"/>
      <c r="D429" s="16" t="n"/>
      <c r="G429" s="17" t="n"/>
    </row>
    <row r="430">
      <c r="A430" s="15" t="n"/>
      <c r="C430" s="16" t="n"/>
      <c r="D430" s="16" t="n"/>
      <c r="G430" s="17" t="n"/>
    </row>
    <row r="431">
      <c r="A431" s="15" t="n"/>
      <c r="C431" s="16" t="n"/>
      <c r="D431" s="16" t="n"/>
      <c r="G431" s="17" t="n"/>
    </row>
    <row r="432">
      <c r="A432" s="15" t="n"/>
      <c r="C432" s="16" t="n"/>
      <c r="D432" s="16" t="n"/>
      <c r="G432" s="17" t="n"/>
    </row>
    <row r="433">
      <c r="A433" s="15" t="n"/>
      <c r="C433" s="16" t="n"/>
      <c r="D433" s="16" t="n"/>
      <c r="G433" s="17" t="n"/>
    </row>
    <row r="434">
      <c r="A434" s="15" t="n"/>
      <c r="C434" s="16" t="n"/>
      <c r="D434" s="16" t="n"/>
      <c r="G434" s="17" t="n"/>
    </row>
    <row r="435">
      <c r="A435" s="15" t="n"/>
      <c r="C435" s="16" t="n"/>
      <c r="D435" s="16" t="n"/>
      <c r="G435" s="17" t="n"/>
    </row>
    <row r="436">
      <c r="A436" s="15" t="n"/>
      <c r="C436" s="16" t="n"/>
      <c r="D436" s="16" t="n"/>
      <c r="G436" s="17" t="n"/>
    </row>
    <row r="437">
      <c r="A437" s="15" t="n"/>
      <c r="C437" s="16" t="n"/>
      <c r="D437" s="16" t="n"/>
      <c r="G437" s="17" t="n"/>
    </row>
    <row r="438">
      <c r="A438" s="15" t="n"/>
      <c r="C438" s="16" t="n"/>
      <c r="D438" s="16" t="n"/>
      <c r="G438" s="17" t="n"/>
    </row>
    <row r="439">
      <c r="A439" s="15" t="n"/>
      <c r="C439" s="16" t="n"/>
      <c r="D439" s="16" t="n"/>
      <c r="G439" s="17" t="n"/>
    </row>
    <row r="440">
      <c r="A440" s="15" t="n"/>
      <c r="C440" s="16" t="n"/>
      <c r="D440" s="16" t="n"/>
      <c r="G440" s="17" t="n"/>
    </row>
    <row r="441">
      <c r="A441" s="15" t="n"/>
      <c r="C441" s="16" t="n"/>
      <c r="D441" s="16" t="n"/>
      <c r="G441" s="17" t="n"/>
    </row>
    <row r="442">
      <c r="A442" s="15" t="n"/>
      <c r="C442" s="16" t="n"/>
      <c r="D442" s="16" t="n"/>
      <c r="G442" s="17" t="n"/>
    </row>
    <row r="443">
      <c r="A443" s="15" t="n"/>
      <c r="C443" s="16" t="n"/>
      <c r="D443" s="16" t="n"/>
      <c r="G443" s="17" t="n"/>
    </row>
    <row r="444">
      <c r="A444" s="15" t="n"/>
      <c r="C444" s="16" t="n"/>
      <c r="D444" s="16" t="n"/>
      <c r="G444" s="17" t="n"/>
    </row>
    <row r="445">
      <c r="A445" s="15" t="n"/>
      <c r="C445" s="16" t="n"/>
      <c r="D445" s="16" t="n"/>
      <c r="G445" s="17" t="n"/>
    </row>
    <row r="446">
      <c r="A446" s="15" t="n"/>
      <c r="C446" s="16" t="n"/>
      <c r="D446" s="16" t="n"/>
      <c r="G446" s="17" t="n"/>
    </row>
    <row r="447">
      <c r="A447" s="15" t="n"/>
      <c r="C447" s="16" t="n"/>
      <c r="D447" s="16" t="n"/>
      <c r="G447" s="17" t="n"/>
    </row>
    <row r="448">
      <c r="A448" s="15" t="n"/>
      <c r="C448" s="16" t="n"/>
      <c r="D448" s="16" t="n"/>
      <c r="G448" s="17" t="n"/>
    </row>
    <row r="449">
      <c r="A449" s="15" t="n"/>
      <c r="C449" s="16" t="n"/>
      <c r="D449" s="16" t="n"/>
      <c r="G449" s="17" t="n"/>
    </row>
    <row r="450">
      <c r="A450" s="15" t="n"/>
      <c r="C450" s="16" t="n"/>
      <c r="D450" s="16" t="n"/>
      <c r="G450" s="17" t="n"/>
    </row>
    <row r="451">
      <c r="A451" s="15" t="n"/>
      <c r="C451" s="16" t="n"/>
      <c r="D451" s="16" t="n"/>
      <c r="G451" s="17" t="n"/>
    </row>
    <row r="452">
      <c r="A452" s="15" t="n"/>
      <c r="C452" s="16" t="n"/>
      <c r="D452" s="16" t="n"/>
      <c r="G452" s="17" t="n"/>
    </row>
    <row r="453">
      <c r="A453" s="15" t="n"/>
      <c r="C453" s="16" t="n"/>
      <c r="D453" s="16" t="n"/>
      <c r="G453" s="17" t="n"/>
    </row>
    <row r="454">
      <c r="A454" s="15" t="n"/>
      <c r="C454" s="16" t="n"/>
      <c r="D454" s="16" t="n"/>
      <c r="G454" s="17" t="n"/>
    </row>
    <row r="455">
      <c r="A455" s="15" t="n"/>
      <c r="C455" s="16" t="n"/>
      <c r="D455" s="16" t="n"/>
      <c r="G455" s="17" t="n"/>
    </row>
    <row r="456">
      <c r="A456" s="15" t="n"/>
      <c r="C456" s="16" t="n"/>
      <c r="D456" s="16" t="n"/>
      <c r="G456" s="17" t="n"/>
    </row>
    <row r="457">
      <c r="A457" s="15" t="n"/>
      <c r="C457" s="16" t="n"/>
      <c r="D457" s="16" t="n"/>
      <c r="G457" s="17" t="n"/>
    </row>
    <row r="458">
      <c r="A458" s="15" t="n"/>
      <c r="C458" s="16" t="n"/>
      <c r="D458" s="16" t="n"/>
      <c r="G458" s="17" t="n"/>
    </row>
    <row r="459">
      <c r="A459" s="15" t="n"/>
      <c r="C459" s="16" t="n"/>
      <c r="D459" s="16" t="n"/>
      <c r="G459" s="17" t="n"/>
    </row>
    <row r="460">
      <c r="A460" s="15" t="n"/>
      <c r="C460" s="16" t="n"/>
      <c r="D460" s="16" t="n"/>
      <c r="G460" s="17" t="n"/>
    </row>
    <row r="461">
      <c r="A461" s="15" t="n"/>
      <c r="C461" s="16" t="n"/>
      <c r="D461" s="16" t="n"/>
      <c r="G461" s="17" t="n"/>
    </row>
    <row r="462">
      <c r="A462" s="15" t="n"/>
      <c r="C462" s="16" t="n"/>
      <c r="D462" s="16" t="n"/>
      <c r="G462" s="17" t="n"/>
    </row>
    <row r="463">
      <c r="A463" s="15" t="n"/>
      <c r="C463" s="16" t="n"/>
      <c r="D463" s="16" t="n"/>
      <c r="G463" s="17" t="n"/>
    </row>
    <row r="464">
      <c r="A464" s="15" t="n"/>
      <c r="C464" s="16" t="n"/>
      <c r="D464" s="16" t="n"/>
      <c r="G464" s="17" t="n"/>
    </row>
    <row r="465">
      <c r="A465" s="15" t="n"/>
      <c r="C465" s="16" t="n"/>
      <c r="D465" s="16" t="n"/>
      <c r="G465" s="17" t="n"/>
    </row>
    <row r="466">
      <c r="A466" s="15" t="n"/>
      <c r="C466" s="16" t="n"/>
      <c r="D466" s="16" t="n"/>
      <c r="G466" s="17" t="n"/>
    </row>
    <row r="467">
      <c r="A467" s="15" t="n"/>
      <c r="C467" s="16" t="n"/>
      <c r="D467" s="16" t="n"/>
      <c r="G467" s="17" t="n"/>
    </row>
    <row r="468">
      <c r="A468" s="15" t="n"/>
      <c r="C468" s="16" t="n"/>
      <c r="D468" s="16" t="n"/>
      <c r="G468" s="17" t="n"/>
    </row>
    <row r="469">
      <c r="A469" s="15" t="n"/>
      <c r="C469" s="16" t="n"/>
      <c r="D469" s="16" t="n"/>
      <c r="G469" s="17" t="n"/>
    </row>
    <row r="470">
      <c r="A470" s="15" t="n"/>
      <c r="C470" s="16" t="n"/>
      <c r="D470" s="16" t="n"/>
      <c r="G470" s="17" t="n"/>
    </row>
    <row r="471">
      <c r="A471" s="15" t="n"/>
      <c r="C471" s="16" t="n"/>
      <c r="D471" s="16" t="n"/>
      <c r="G471" s="17" t="n"/>
    </row>
    <row r="472">
      <c r="A472" s="15" t="n"/>
      <c r="C472" s="16" t="n"/>
      <c r="D472" s="16" t="n"/>
      <c r="G472" s="17" t="n"/>
    </row>
    <row r="473">
      <c r="A473" s="15" t="n"/>
      <c r="C473" s="16" t="n"/>
      <c r="D473" s="16" t="n"/>
      <c r="G473" s="17" t="n"/>
    </row>
    <row r="474">
      <c r="A474" s="15" t="n"/>
      <c r="C474" s="16" t="n"/>
      <c r="D474" s="16" t="n"/>
      <c r="G474" s="17" t="n"/>
    </row>
    <row r="475">
      <c r="A475" s="15" t="n"/>
      <c r="C475" s="16" t="n"/>
      <c r="D475" s="16" t="n"/>
      <c r="G475" s="17" t="n"/>
    </row>
    <row r="476">
      <c r="A476" s="15" t="n"/>
      <c r="C476" s="16" t="n"/>
      <c r="D476" s="16" t="n"/>
      <c r="G476" s="17" t="n"/>
    </row>
    <row r="477">
      <c r="A477" s="15" t="n"/>
      <c r="C477" s="16" t="n"/>
      <c r="D477" s="16" t="n"/>
      <c r="G477" s="17" t="n"/>
    </row>
    <row r="478">
      <c r="A478" s="15" t="n"/>
      <c r="C478" s="16" t="n"/>
      <c r="D478" s="16" t="n"/>
      <c r="G478" s="17" t="n"/>
    </row>
    <row r="479">
      <c r="A479" s="15" t="n"/>
      <c r="C479" s="16" t="n"/>
      <c r="D479" s="16" t="n"/>
      <c r="G479" s="17" t="n"/>
    </row>
    <row r="480">
      <c r="A480" s="15" t="n"/>
      <c r="C480" s="16" t="n"/>
      <c r="D480" s="16" t="n"/>
      <c r="G480" s="17" t="n"/>
    </row>
    <row r="481">
      <c r="A481" s="15" t="n"/>
      <c r="C481" s="16" t="n"/>
      <c r="D481" s="16" t="n"/>
      <c r="G481" s="17" t="n"/>
    </row>
    <row r="482">
      <c r="A482" s="15" t="n"/>
      <c r="C482" s="16" t="n"/>
      <c r="D482" s="16" t="n"/>
      <c r="G482" s="17" t="n"/>
    </row>
    <row r="483">
      <c r="A483" s="15" t="n"/>
      <c r="C483" s="16" t="n"/>
      <c r="D483" s="16" t="n"/>
      <c r="G483" s="17" t="n"/>
    </row>
    <row r="484">
      <c r="A484" s="15" t="n"/>
      <c r="C484" s="16" t="n"/>
      <c r="D484" s="16" t="n"/>
      <c r="G484" s="17" t="n"/>
    </row>
    <row r="485">
      <c r="A485" s="15" t="n"/>
      <c r="C485" s="16" t="n"/>
      <c r="D485" s="16" t="n"/>
      <c r="G485" s="17" t="n"/>
    </row>
    <row r="486">
      <c r="A486" s="15" t="n"/>
      <c r="C486" s="16" t="n"/>
      <c r="D486" s="16" t="n"/>
      <c r="G486" s="17" t="n"/>
    </row>
    <row r="487">
      <c r="A487" s="15" t="n"/>
      <c r="C487" s="16" t="n"/>
      <c r="D487" s="16" t="n"/>
      <c r="G487" s="17" t="n"/>
    </row>
    <row r="488">
      <c r="A488" s="15" t="n"/>
      <c r="C488" s="16" t="n"/>
      <c r="D488" s="16" t="n"/>
      <c r="G488" s="17" t="n"/>
    </row>
    <row r="489">
      <c r="A489" s="15" t="n"/>
      <c r="C489" s="16" t="n"/>
      <c r="D489" s="16" t="n"/>
      <c r="G489" s="17" t="n"/>
    </row>
    <row r="490">
      <c r="A490" s="15" t="n"/>
      <c r="C490" s="16" t="n"/>
      <c r="D490" s="16" t="n"/>
      <c r="G490" s="17" t="n"/>
    </row>
    <row r="491">
      <c r="A491" s="15" t="n"/>
      <c r="C491" s="16" t="n"/>
      <c r="D491" s="16" t="n"/>
      <c r="G491" s="17" t="n"/>
    </row>
    <row r="492">
      <c r="A492" s="15" t="n"/>
      <c r="C492" s="16" t="n"/>
      <c r="D492" s="16" t="n"/>
      <c r="G492" s="17" t="n"/>
    </row>
    <row r="493">
      <c r="A493" s="15" t="n"/>
      <c r="C493" s="16" t="n"/>
      <c r="D493" s="16" t="n"/>
      <c r="G493" s="17" t="n"/>
    </row>
    <row r="494">
      <c r="A494" s="15" t="n"/>
      <c r="C494" s="16" t="n"/>
      <c r="D494" s="16" t="n"/>
      <c r="G494" s="17" t="n"/>
    </row>
    <row r="495">
      <c r="A495" s="15" t="n"/>
      <c r="C495" s="16" t="n"/>
      <c r="D495" s="16" t="n"/>
      <c r="G495" s="17" t="n"/>
    </row>
    <row r="496">
      <c r="A496" s="15" t="n"/>
      <c r="C496" s="16" t="n"/>
      <c r="D496" s="16" t="n"/>
      <c r="G496" s="17" t="n"/>
    </row>
    <row r="497">
      <c r="A497" s="15" t="n"/>
      <c r="C497" s="16" t="n"/>
      <c r="D497" s="16" t="n"/>
      <c r="G497" s="17" t="n"/>
    </row>
    <row r="498">
      <c r="A498" s="15" t="n"/>
      <c r="C498" s="16" t="n"/>
      <c r="D498" s="16" t="n"/>
      <c r="G498" s="17" t="n"/>
    </row>
    <row r="499">
      <c r="A499" s="15" t="n"/>
      <c r="C499" s="16" t="n"/>
      <c r="D499" s="16" t="n"/>
      <c r="G499" s="17" t="n"/>
    </row>
    <row r="500">
      <c r="A500" s="15" t="n"/>
      <c r="C500" s="16" t="n"/>
      <c r="D500" s="16" t="n"/>
      <c r="G500" s="17" t="n"/>
    </row>
    <row r="501">
      <c r="A501" s="15" t="n"/>
      <c r="C501" s="16" t="n"/>
      <c r="D501" s="16" t="n"/>
      <c r="G501" s="17" t="n"/>
    </row>
    <row r="502">
      <c r="A502" s="15" t="n"/>
      <c r="C502" s="16" t="n"/>
      <c r="D502" s="16" t="n"/>
      <c r="G502" s="17" t="n"/>
    </row>
    <row r="503">
      <c r="A503" s="15" t="n"/>
      <c r="C503" s="16" t="n"/>
      <c r="D503" s="16" t="n"/>
      <c r="G503" s="17" t="n"/>
    </row>
    <row r="504">
      <c r="A504" s="15" t="n"/>
      <c r="C504" s="16" t="n"/>
      <c r="D504" s="16" t="n"/>
      <c r="G504" s="17" t="n"/>
    </row>
    <row r="505">
      <c r="A505" s="15" t="n"/>
      <c r="C505" s="16" t="n"/>
      <c r="D505" s="16" t="n"/>
      <c r="G505" s="17" t="n"/>
    </row>
    <row r="506">
      <c r="A506" s="15" t="n"/>
      <c r="C506" s="16" t="n"/>
      <c r="D506" s="16" t="n"/>
      <c r="G506" s="17" t="n"/>
    </row>
    <row r="507">
      <c r="A507" s="15" t="n"/>
      <c r="C507" s="16" t="n"/>
      <c r="D507" s="16" t="n"/>
      <c r="G507" s="17" t="n"/>
    </row>
    <row r="508">
      <c r="A508" s="15" t="n"/>
      <c r="C508" s="16" t="n"/>
      <c r="D508" s="16" t="n"/>
      <c r="G508" s="17" t="n"/>
    </row>
    <row r="509">
      <c r="A509" s="15" t="n"/>
      <c r="C509" s="16" t="n"/>
      <c r="D509" s="16" t="n"/>
      <c r="G509" s="17" t="n"/>
    </row>
    <row r="510">
      <c r="A510" s="15" t="n"/>
      <c r="C510" s="16" t="n"/>
      <c r="D510" s="16" t="n"/>
      <c r="G510" s="17" t="n"/>
    </row>
    <row r="511">
      <c r="A511" s="15" t="n"/>
      <c r="C511" s="16" t="n"/>
      <c r="D511" s="16" t="n"/>
      <c r="G511" s="17" t="n"/>
    </row>
    <row r="512">
      <c r="A512" s="15" t="n"/>
      <c r="C512" s="16" t="n"/>
      <c r="D512" s="16" t="n"/>
      <c r="G512" s="17" t="n"/>
    </row>
    <row r="513">
      <c r="A513" s="15" t="n"/>
      <c r="C513" s="16" t="n"/>
      <c r="D513" s="16" t="n"/>
      <c r="G513" s="17" t="n"/>
    </row>
    <row r="514">
      <c r="A514" s="15" t="n"/>
      <c r="C514" s="16" t="n"/>
      <c r="D514" s="16" t="n"/>
      <c r="G514" s="17" t="n"/>
    </row>
    <row r="515">
      <c r="A515" s="15" t="n"/>
      <c r="C515" s="16" t="n"/>
      <c r="D515" s="16" t="n"/>
      <c r="G515" s="17" t="n"/>
    </row>
    <row r="516">
      <c r="A516" s="15" t="n"/>
      <c r="C516" s="16" t="n"/>
      <c r="D516" s="16" t="n"/>
      <c r="G516" s="17" t="n"/>
    </row>
    <row r="517">
      <c r="A517" s="15" t="n"/>
      <c r="C517" s="16" t="n"/>
      <c r="D517" s="16" t="n"/>
      <c r="G517" s="17" t="n"/>
    </row>
    <row r="518">
      <c r="A518" s="15" t="n"/>
      <c r="C518" s="16" t="n"/>
      <c r="D518" s="16" t="n"/>
      <c r="G518" s="17" t="n"/>
    </row>
    <row r="519">
      <c r="A519" s="15" t="n"/>
      <c r="C519" s="16" t="n"/>
      <c r="D519" s="16" t="n"/>
      <c r="G519" s="17" t="n"/>
    </row>
    <row r="520">
      <c r="A520" s="15" t="n"/>
      <c r="C520" s="16" t="n"/>
      <c r="D520" s="16" t="n"/>
      <c r="G520" s="17" t="n"/>
    </row>
    <row r="521">
      <c r="A521" s="15" t="n"/>
      <c r="C521" s="16" t="n"/>
      <c r="D521" s="16" t="n"/>
      <c r="G521" s="17" t="n"/>
    </row>
    <row r="522">
      <c r="A522" s="15" t="n"/>
      <c r="C522" s="16" t="n"/>
      <c r="D522" s="16" t="n"/>
      <c r="G522" s="17" t="n"/>
    </row>
    <row r="523">
      <c r="A523" s="15" t="n"/>
      <c r="C523" s="16" t="n"/>
      <c r="D523" s="16" t="n"/>
      <c r="G523" s="17" t="n"/>
    </row>
    <row r="524">
      <c r="A524" s="15" t="n"/>
      <c r="C524" s="16" t="n"/>
      <c r="D524" s="16" t="n"/>
      <c r="G524" s="17" t="n"/>
    </row>
    <row r="525">
      <c r="A525" s="15" t="n"/>
      <c r="C525" s="16" t="n"/>
      <c r="D525" s="16" t="n"/>
      <c r="G525" s="17" t="n"/>
    </row>
    <row r="526">
      <c r="A526" s="15" t="n"/>
      <c r="C526" s="16" t="n"/>
      <c r="D526" s="16" t="n"/>
      <c r="G526" s="17" t="n"/>
    </row>
    <row r="527">
      <c r="A527" s="15" t="n"/>
      <c r="C527" s="16" t="n"/>
      <c r="D527" s="16" t="n"/>
      <c r="G527" s="17" t="n"/>
    </row>
    <row r="528">
      <c r="A528" s="15" t="n"/>
      <c r="C528" s="16" t="n"/>
      <c r="D528" s="16" t="n"/>
      <c r="G528" s="17" t="n"/>
    </row>
    <row r="529">
      <c r="A529" s="15" t="n"/>
      <c r="C529" s="16" t="n"/>
      <c r="D529" s="16" t="n"/>
      <c r="G529" s="17" t="n"/>
    </row>
    <row r="530">
      <c r="A530" s="15" t="n"/>
      <c r="C530" s="16" t="n"/>
      <c r="D530" s="16" t="n"/>
      <c r="G530" s="17" t="n"/>
    </row>
    <row r="531">
      <c r="A531" s="15" t="n"/>
      <c r="C531" s="16" t="n"/>
      <c r="D531" s="16" t="n"/>
      <c r="G531" s="17" t="n"/>
    </row>
    <row r="532">
      <c r="A532" s="15" t="n"/>
      <c r="C532" s="16" t="n"/>
      <c r="D532" s="16" t="n"/>
      <c r="G532" s="17" t="n"/>
    </row>
    <row r="533">
      <c r="A533" s="15" t="n"/>
      <c r="C533" s="16" t="n"/>
      <c r="D533" s="16" t="n"/>
      <c r="G533" s="17" t="n"/>
    </row>
    <row r="534">
      <c r="A534" s="15" t="n"/>
      <c r="C534" s="16" t="n"/>
      <c r="D534" s="16" t="n"/>
      <c r="G534" s="17" t="n"/>
    </row>
    <row r="535">
      <c r="A535" s="15" t="n"/>
      <c r="C535" s="16" t="n"/>
      <c r="D535" s="16" t="n"/>
      <c r="G535" s="17" t="n"/>
    </row>
    <row r="536">
      <c r="A536" s="15" t="n"/>
      <c r="C536" s="16" t="n"/>
      <c r="D536" s="16" t="n"/>
      <c r="G536" s="17" t="n"/>
    </row>
    <row r="537">
      <c r="A537" s="15" t="n"/>
      <c r="C537" s="16" t="n"/>
      <c r="D537" s="16" t="n"/>
      <c r="G537" s="17" t="n"/>
    </row>
    <row r="538">
      <c r="A538" s="15" t="n"/>
      <c r="C538" s="16" t="n"/>
      <c r="D538" s="16" t="n"/>
      <c r="G538" s="17" t="n"/>
    </row>
    <row r="539">
      <c r="A539" s="15" t="n"/>
      <c r="C539" s="16" t="n"/>
      <c r="D539" s="16" t="n"/>
      <c r="G539" s="17" t="n"/>
    </row>
    <row r="540">
      <c r="A540" s="15" t="n"/>
      <c r="C540" s="16" t="n"/>
      <c r="D540" s="16" t="n"/>
      <c r="G540" s="17" t="n"/>
    </row>
    <row r="541">
      <c r="A541" s="15" t="n"/>
      <c r="C541" s="16" t="n"/>
      <c r="D541" s="16" t="n"/>
      <c r="G541" s="17" t="n"/>
    </row>
    <row r="542">
      <c r="A542" s="15" t="n"/>
      <c r="C542" s="16" t="n"/>
      <c r="D542" s="16" t="n"/>
      <c r="G542" s="17" t="n"/>
    </row>
    <row r="543">
      <c r="A543" s="15" t="n"/>
      <c r="C543" s="16" t="n"/>
      <c r="D543" s="16" t="n"/>
      <c r="G543" s="17" t="n"/>
    </row>
    <row r="544">
      <c r="A544" s="15" t="n"/>
      <c r="C544" s="16" t="n"/>
      <c r="D544" s="16" t="n"/>
      <c r="G544" s="17" t="n"/>
    </row>
    <row r="545">
      <c r="A545" s="15" t="n"/>
      <c r="C545" s="16" t="n"/>
      <c r="D545" s="16" t="n"/>
      <c r="G545" s="17" t="n"/>
    </row>
    <row r="546">
      <c r="A546" s="15" t="n"/>
      <c r="C546" s="16" t="n"/>
      <c r="D546" s="16" t="n"/>
      <c r="G546" s="17" t="n"/>
    </row>
    <row r="547">
      <c r="A547" s="15" t="n"/>
      <c r="C547" s="16" t="n"/>
      <c r="D547" s="16" t="n"/>
      <c r="G547" s="17" t="n"/>
    </row>
    <row r="548">
      <c r="A548" s="15" t="n"/>
      <c r="C548" s="16" t="n"/>
      <c r="D548" s="16" t="n"/>
      <c r="G548" s="17" t="n"/>
    </row>
    <row r="549">
      <c r="A549" s="15" t="n"/>
      <c r="C549" s="16" t="n"/>
      <c r="D549" s="16" t="n"/>
      <c r="G549" s="17" t="n"/>
    </row>
    <row r="550">
      <c r="A550" s="15" t="n"/>
      <c r="C550" s="16" t="n"/>
      <c r="D550" s="16" t="n"/>
      <c r="G550" s="17" t="n"/>
    </row>
    <row r="551">
      <c r="A551" s="15" t="n"/>
      <c r="C551" s="16" t="n"/>
      <c r="D551" s="16" t="n"/>
      <c r="G551" s="17" t="n"/>
    </row>
    <row r="552">
      <c r="A552" s="15" t="n"/>
      <c r="C552" s="16" t="n"/>
      <c r="D552" s="16" t="n"/>
      <c r="G552" s="17" t="n"/>
    </row>
    <row r="553">
      <c r="A553" s="15" t="n"/>
      <c r="C553" s="16" t="n"/>
      <c r="D553" s="16" t="n"/>
      <c r="G553" s="17" t="n"/>
    </row>
    <row r="554">
      <c r="A554" s="15" t="n"/>
      <c r="C554" s="16" t="n"/>
      <c r="D554" s="16" t="n"/>
      <c r="G554" s="17" t="n"/>
    </row>
    <row r="555">
      <c r="A555" s="15" t="n"/>
      <c r="C555" s="16" t="n"/>
      <c r="D555" s="16" t="n"/>
      <c r="G555" s="17" t="n"/>
    </row>
    <row r="556">
      <c r="A556" s="15" t="n"/>
      <c r="C556" s="16" t="n"/>
      <c r="D556" s="16" t="n"/>
      <c r="G556" s="17" t="n"/>
    </row>
    <row r="557">
      <c r="A557" s="15" t="n"/>
      <c r="C557" s="16" t="n"/>
      <c r="D557" s="16" t="n"/>
      <c r="G557" s="17" t="n"/>
    </row>
    <row r="558">
      <c r="A558" s="15" t="n"/>
      <c r="C558" s="16" t="n"/>
      <c r="D558" s="16" t="n"/>
      <c r="G558" s="17" t="n"/>
    </row>
    <row r="559">
      <c r="A559" s="15" t="n"/>
      <c r="C559" s="16" t="n"/>
      <c r="D559" s="16" t="n"/>
      <c r="G559" s="17" t="n"/>
    </row>
    <row r="560">
      <c r="A560" s="15" t="n"/>
      <c r="C560" s="16" t="n"/>
      <c r="D560" s="16" t="n"/>
      <c r="G560" s="17" t="n"/>
    </row>
    <row r="561">
      <c r="A561" s="15" t="n"/>
      <c r="C561" s="16" t="n"/>
      <c r="D561" s="16" t="n"/>
      <c r="G561" s="17" t="n"/>
    </row>
    <row r="562">
      <c r="A562" s="15" t="n"/>
      <c r="C562" s="16" t="n"/>
      <c r="D562" s="16" t="n"/>
      <c r="G562" s="17" t="n"/>
    </row>
    <row r="563">
      <c r="A563" s="15" t="n"/>
      <c r="C563" s="16" t="n"/>
      <c r="D563" s="16" t="n"/>
      <c r="G563" s="17" t="n"/>
    </row>
    <row r="564">
      <c r="A564" s="15" t="n"/>
      <c r="C564" s="16" t="n"/>
      <c r="D564" s="16" t="n"/>
      <c r="G564" s="17" t="n"/>
    </row>
    <row r="565">
      <c r="A565" s="15" t="n"/>
      <c r="C565" s="16" t="n"/>
      <c r="D565" s="16" t="n"/>
      <c r="G565" s="17" t="n"/>
    </row>
    <row r="566">
      <c r="A566" s="15" t="n"/>
      <c r="C566" s="16" t="n"/>
      <c r="D566" s="16" t="n"/>
      <c r="G566" s="17" t="n"/>
    </row>
    <row r="567">
      <c r="A567" s="15" t="n"/>
      <c r="C567" s="16" t="n"/>
      <c r="D567" s="16" t="n"/>
      <c r="G567" s="17" t="n"/>
    </row>
    <row r="568">
      <c r="A568" s="15" t="n"/>
      <c r="C568" s="16" t="n"/>
      <c r="D568" s="16" t="n"/>
      <c r="G568" s="17" t="n"/>
    </row>
    <row r="569">
      <c r="A569" s="15" t="n"/>
      <c r="C569" s="16" t="n"/>
      <c r="D569" s="16" t="n"/>
      <c r="G569" s="17" t="n"/>
    </row>
    <row r="570">
      <c r="A570" s="15" t="n"/>
      <c r="C570" s="16" t="n"/>
      <c r="D570" s="16" t="n"/>
      <c r="G570" s="17" t="n"/>
    </row>
    <row r="571">
      <c r="A571" s="15" t="n"/>
      <c r="C571" s="16" t="n"/>
      <c r="D571" s="16" t="n"/>
      <c r="G571" s="17" t="n"/>
    </row>
    <row r="572">
      <c r="A572" s="15" t="n"/>
      <c r="C572" s="16" t="n"/>
      <c r="D572" s="16" t="n"/>
      <c r="G572" s="17" t="n"/>
    </row>
    <row r="573">
      <c r="A573" s="15" t="n"/>
      <c r="C573" s="16" t="n"/>
      <c r="D573" s="16" t="n"/>
      <c r="G573" s="17" t="n"/>
    </row>
    <row r="574">
      <c r="A574" s="15" t="n"/>
      <c r="C574" s="16" t="n"/>
      <c r="D574" s="16" t="n"/>
      <c r="G574" s="17" t="n"/>
    </row>
    <row r="575">
      <c r="A575" s="15" t="n"/>
      <c r="C575" s="16" t="n"/>
      <c r="D575" s="16" t="n"/>
      <c r="G575" s="17" t="n"/>
    </row>
    <row r="576">
      <c r="A576" s="15" t="n"/>
      <c r="C576" s="16" t="n"/>
      <c r="D576" s="16" t="n"/>
      <c r="G576" s="17" t="n"/>
    </row>
    <row r="577">
      <c r="A577" s="15" t="n"/>
      <c r="C577" s="16" t="n"/>
      <c r="D577" s="16" t="n"/>
      <c r="G577" s="17" t="n"/>
    </row>
    <row r="578">
      <c r="A578" s="15" t="n"/>
      <c r="C578" s="16" t="n"/>
      <c r="D578" s="16" t="n"/>
      <c r="G578" s="17" t="n"/>
    </row>
    <row r="579">
      <c r="A579" s="15" t="n"/>
      <c r="C579" s="16" t="n"/>
      <c r="D579" s="16" t="n"/>
      <c r="G579" s="17" t="n"/>
    </row>
    <row r="580">
      <c r="A580" s="15" t="n"/>
      <c r="C580" s="16" t="n"/>
      <c r="D580" s="16" t="n"/>
      <c r="G580" s="17" t="n"/>
    </row>
    <row r="581">
      <c r="A581" s="15" t="n"/>
      <c r="C581" s="16" t="n"/>
      <c r="D581" s="16" t="n"/>
      <c r="G581" s="17" t="n"/>
    </row>
    <row r="582">
      <c r="A582" s="15" t="n"/>
      <c r="C582" s="16" t="n"/>
      <c r="D582" s="16" t="n"/>
      <c r="G582" s="17" t="n"/>
    </row>
    <row r="583">
      <c r="A583" s="15" t="n"/>
      <c r="C583" s="16" t="n"/>
      <c r="D583" s="16" t="n"/>
      <c r="G583" s="17" t="n"/>
    </row>
    <row r="584">
      <c r="A584" s="15" t="n"/>
      <c r="C584" s="16" t="n"/>
      <c r="D584" s="16" t="n"/>
      <c r="G584" s="17" t="n"/>
    </row>
    <row r="585">
      <c r="A585" s="15" t="n"/>
      <c r="C585" s="16" t="n"/>
      <c r="D585" s="16" t="n"/>
      <c r="G585" s="17" t="n"/>
    </row>
    <row r="586">
      <c r="A586" s="15" t="n"/>
      <c r="C586" s="16" t="n"/>
      <c r="D586" s="16" t="n"/>
      <c r="G586" s="17" t="n"/>
    </row>
    <row r="587">
      <c r="A587" s="15" t="n"/>
      <c r="C587" s="16" t="n"/>
      <c r="D587" s="16" t="n"/>
      <c r="G587" s="17" t="n"/>
    </row>
    <row r="588">
      <c r="A588" s="15" t="n"/>
      <c r="C588" s="16" t="n"/>
      <c r="D588" s="16" t="n"/>
      <c r="G588" s="17" t="n"/>
    </row>
    <row r="589">
      <c r="A589" s="15" t="n"/>
      <c r="C589" s="16" t="n"/>
      <c r="D589" s="16" t="n"/>
      <c r="G589" s="17" t="n"/>
    </row>
    <row r="590">
      <c r="A590" s="15" t="n"/>
      <c r="C590" s="16" t="n"/>
      <c r="D590" s="16" t="n"/>
      <c r="G590" s="17" t="n"/>
    </row>
    <row r="591">
      <c r="A591" s="15" t="n"/>
      <c r="C591" s="16" t="n"/>
      <c r="D591" s="16" t="n"/>
      <c r="G591" s="17" t="n"/>
    </row>
    <row r="592">
      <c r="A592" s="15" t="n"/>
      <c r="C592" s="16" t="n"/>
      <c r="D592" s="16" t="n"/>
      <c r="G592" s="17" t="n"/>
    </row>
    <row r="593">
      <c r="A593" s="15" t="n"/>
      <c r="C593" s="16" t="n"/>
      <c r="D593" s="16" t="n"/>
      <c r="G593" s="17" t="n"/>
    </row>
    <row r="594">
      <c r="A594" s="15" t="n"/>
      <c r="C594" s="16" t="n"/>
      <c r="D594" s="16" t="n"/>
      <c r="G594" s="17" t="n"/>
    </row>
    <row r="595">
      <c r="A595" s="15" t="n"/>
      <c r="C595" s="16" t="n"/>
      <c r="D595" s="16" t="n"/>
      <c r="G595" s="17" t="n"/>
    </row>
    <row r="596">
      <c r="A596" s="15" t="n"/>
      <c r="C596" s="16" t="n"/>
      <c r="D596" s="16" t="n"/>
      <c r="G596" s="17" t="n"/>
    </row>
    <row r="597">
      <c r="A597" s="15" t="n"/>
      <c r="C597" s="16" t="n"/>
      <c r="D597" s="16" t="n"/>
      <c r="G597" s="17" t="n"/>
    </row>
    <row r="598">
      <c r="A598" s="15" t="n"/>
      <c r="C598" s="16" t="n"/>
      <c r="D598" s="16" t="n"/>
      <c r="G598" s="17" t="n"/>
    </row>
    <row r="599">
      <c r="A599" s="15" t="n"/>
      <c r="C599" s="16" t="n"/>
      <c r="D599" s="16" t="n"/>
      <c r="G599" s="17" t="n"/>
    </row>
    <row r="600">
      <c r="A600" s="15" t="n"/>
      <c r="C600" s="16" t="n"/>
      <c r="D600" s="16" t="n"/>
      <c r="G600" s="17" t="n"/>
    </row>
    <row r="601">
      <c r="A601" s="15" t="n"/>
      <c r="C601" s="16" t="n"/>
      <c r="D601" s="16" t="n"/>
      <c r="G601" s="17" t="n"/>
    </row>
    <row r="602">
      <c r="A602" s="15" t="n"/>
      <c r="C602" s="16" t="n"/>
      <c r="D602" s="16" t="n"/>
      <c r="G602" s="17" t="n"/>
    </row>
    <row r="603">
      <c r="A603" s="15" t="n"/>
      <c r="C603" s="16" t="n"/>
      <c r="D603" s="16" t="n"/>
      <c r="G603" s="17" t="n"/>
    </row>
    <row r="604">
      <c r="A604" s="15" t="n"/>
      <c r="C604" s="16" t="n"/>
      <c r="D604" s="16" t="n"/>
      <c r="G604" s="17" t="n"/>
    </row>
    <row r="605">
      <c r="A605" s="15" t="n"/>
      <c r="C605" s="16" t="n"/>
      <c r="D605" s="16" t="n"/>
      <c r="G605" s="17" t="n"/>
    </row>
    <row r="606">
      <c r="A606" s="15" t="n"/>
      <c r="C606" s="16" t="n"/>
      <c r="D606" s="16" t="n"/>
      <c r="G606" s="17" t="n"/>
    </row>
    <row r="607">
      <c r="A607" s="15" t="n"/>
      <c r="C607" s="16" t="n"/>
      <c r="D607" s="16" t="n"/>
      <c r="G607" s="17" t="n"/>
    </row>
    <row r="608">
      <c r="A608" s="15" t="n"/>
      <c r="C608" s="16" t="n"/>
      <c r="D608" s="16" t="n"/>
      <c r="G608" s="17" t="n"/>
    </row>
    <row r="609">
      <c r="A609" s="15" t="n"/>
      <c r="C609" s="16" t="n"/>
      <c r="D609" s="16" t="n"/>
      <c r="G609" s="17" t="n"/>
    </row>
    <row r="610">
      <c r="A610" s="15" t="n"/>
      <c r="C610" s="16" t="n"/>
      <c r="D610" s="16" t="n"/>
      <c r="G610" s="17" t="n"/>
    </row>
    <row r="611">
      <c r="A611" s="15" t="n"/>
      <c r="C611" s="16" t="n"/>
      <c r="D611" s="16" t="n"/>
      <c r="G611" s="17" t="n"/>
    </row>
    <row r="612">
      <c r="A612" s="15" t="n"/>
      <c r="C612" s="16" t="n"/>
      <c r="D612" s="16" t="n"/>
      <c r="G612" s="17" t="n"/>
    </row>
    <row r="613">
      <c r="A613" s="15" t="n"/>
      <c r="C613" s="16" t="n"/>
      <c r="D613" s="16" t="n"/>
      <c r="G613" s="17" t="n"/>
    </row>
    <row r="614">
      <c r="A614" s="15" t="n"/>
      <c r="C614" s="16" t="n"/>
      <c r="D614" s="16" t="n"/>
      <c r="G614" s="17" t="n"/>
    </row>
    <row r="615">
      <c r="A615" s="15" t="n"/>
      <c r="C615" s="16" t="n"/>
      <c r="D615" s="16" t="n"/>
      <c r="G615" s="17" t="n"/>
    </row>
    <row r="616">
      <c r="A616" s="15" t="n"/>
      <c r="C616" s="16" t="n"/>
      <c r="D616" s="16" t="n"/>
      <c r="G616" s="17" t="n"/>
    </row>
    <row r="617">
      <c r="A617" s="15" t="n"/>
      <c r="C617" s="16" t="n"/>
      <c r="D617" s="16" t="n"/>
      <c r="G617" s="17" t="n"/>
    </row>
    <row r="618">
      <c r="A618" s="15" t="n"/>
      <c r="C618" s="16" t="n"/>
      <c r="D618" s="16" t="n"/>
      <c r="G618" s="17" t="n"/>
    </row>
    <row r="619">
      <c r="A619" s="15" t="n"/>
      <c r="C619" s="16" t="n"/>
      <c r="D619" s="16" t="n"/>
      <c r="G619" s="17" t="n"/>
    </row>
    <row r="620">
      <c r="A620" s="15" t="n"/>
      <c r="C620" s="16" t="n"/>
      <c r="D620" s="16" t="n"/>
      <c r="G620" s="17" t="n"/>
    </row>
    <row r="621">
      <c r="A621" s="15" t="n"/>
      <c r="C621" s="16" t="n"/>
      <c r="D621" s="16" t="n"/>
      <c r="G621" s="17" t="n"/>
    </row>
    <row r="622">
      <c r="A622" s="15" t="n"/>
      <c r="C622" s="16" t="n"/>
      <c r="D622" s="16" t="n"/>
      <c r="G622" s="17" t="n"/>
    </row>
    <row r="623">
      <c r="A623" s="15" t="n"/>
      <c r="C623" s="16" t="n"/>
      <c r="D623" s="16" t="n"/>
      <c r="G623" s="17" t="n"/>
    </row>
    <row r="624">
      <c r="A624" s="15" t="n"/>
      <c r="C624" s="16" t="n"/>
      <c r="D624" s="16" t="n"/>
      <c r="G624" s="17" t="n"/>
    </row>
    <row r="625">
      <c r="A625" s="15" t="n"/>
      <c r="C625" s="16" t="n"/>
      <c r="D625" s="16" t="n"/>
      <c r="G625" s="17" t="n"/>
    </row>
    <row r="626">
      <c r="A626" s="15" t="n"/>
      <c r="C626" s="16" t="n"/>
      <c r="D626" s="16" t="n"/>
      <c r="G626" s="17" t="n"/>
    </row>
    <row r="627">
      <c r="A627" s="15" t="n"/>
      <c r="C627" s="16" t="n"/>
      <c r="D627" s="16" t="n"/>
      <c r="G627" s="17" t="n"/>
    </row>
    <row r="628">
      <c r="A628" s="15" t="n"/>
      <c r="C628" s="16" t="n"/>
      <c r="D628" s="16" t="n"/>
      <c r="G628" s="17" t="n"/>
    </row>
    <row r="629">
      <c r="A629" s="15" t="n"/>
      <c r="C629" s="16" t="n"/>
      <c r="D629" s="16" t="n"/>
      <c r="G629" s="17" t="n"/>
    </row>
    <row r="630">
      <c r="A630" s="15" t="n"/>
      <c r="C630" s="16" t="n"/>
      <c r="D630" s="16" t="n"/>
      <c r="G630" s="17" t="n"/>
    </row>
    <row r="631">
      <c r="A631" s="15" t="n"/>
      <c r="C631" s="16" t="n"/>
      <c r="D631" s="16" t="n"/>
      <c r="G631" s="17" t="n"/>
    </row>
    <row r="632">
      <c r="A632" s="15" t="n"/>
      <c r="C632" s="16" t="n"/>
      <c r="D632" s="16" t="n"/>
      <c r="G632" s="17" t="n"/>
    </row>
    <row r="633">
      <c r="A633" s="15" t="n"/>
      <c r="C633" s="16" t="n"/>
      <c r="D633" s="16" t="n"/>
      <c r="G633" s="17" t="n"/>
    </row>
    <row r="634">
      <c r="A634" s="15" t="n"/>
      <c r="C634" s="16" t="n"/>
      <c r="D634" s="16" t="n"/>
      <c r="G634" s="17" t="n"/>
    </row>
    <row r="635">
      <c r="A635" s="15" t="n"/>
      <c r="C635" s="16" t="n"/>
      <c r="D635" s="16" t="n"/>
      <c r="G635" s="17" t="n"/>
    </row>
    <row r="636">
      <c r="A636" s="15" t="n"/>
      <c r="C636" s="16" t="n"/>
      <c r="D636" s="16" t="n"/>
      <c r="G636" s="17" t="n"/>
    </row>
    <row r="637">
      <c r="A637" s="15" t="n"/>
      <c r="C637" s="16" t="n"/>
      <c r="D637" s="16" t="n"/>
      <c r="G637" s="17" t="n"/>
    </row>
    <row r="638">
      <c r="A638" s="15" t="n"/>
      <c r="C638" s="16" t="n"/>
      <c r="D638" s="16" t="n"/>
      <c r="G638" s="17" t="n"/>
    </row>
    <row r="639">
      <c r="A639" s="15" t="n"/>
      <c r="C639" s="16" t="n"/>
      <c r="D639" s="16" t="n"/>
      <c r="G639" s="17" t="n"/>
    </row>
    <row r="640">
      <c r="A640" s="15" t="n"/>
      <c r="C640" s="16" t="n"/>
      <c r="D640" s="16" t="n"/>
      <c r="G640" s="17" t="n"/>
    </row>
    <row r="641">
      <c r="A641" s="15" t="n"/>
      <c r="C641" s="16" t="n"/>
      <c r="D641" s="16" t="n"/>
      <c r="G641" s="17" t="n"/>
    </row>
    <row r="642">
      <c r="A642" s="15" t="n"/>
      <c r="C642" s="16" t="n"/>
      <c r="D642" s="16" t="n"/>
      <c r="G642" s="17" t="n"/>
    </row>
    <row r="643">
      <c r="A643" s="15" t="n"/>
      <c r="C643" s="16" t="n"/>
      <c r="D643" s="16" t="n"/>
      <c r="G643" s="17" t="n"/>
    </row>
    <row r="644">
      <c r="A644" s="15" t="n"/>
      <c r="C644" s="16" t="n"/>
      <c r="D644" s="16" t="n"/>
      <c r="G644" s="17" t="n"/>
    </row>
    <row r="645">
      <c r="A645" s="15" t="n"/>
      <c r="C645" s="16" t="n"/>
      <c r="D645" s="16" t="n"/>
      <c r="G645" s="17" t="n"/>
    </row>
    <row r="646">
      <c r="A646" s="15" t="n"/>
      <c r="C646" s="16" t="n"/>
      <c r="D646" s="16" t="n"/>
      <c r="G646" s="17" t="n"/>
    </row>
    <row r="647">
      <c r="A647" s="15" t="n"/>
      <c r="C647" s="16" t="n"/>
      <c r="D647" s="16" t="n"/>
      <c r="G647" s="17" t="n"/>
    </row>
    <row r="648">
      <c r="A648" s="15" t="n"/>
      <c r="C648" s="16" t="n"/>
      <c r="D648" s="16" t="n"/>
      <c r="G648" s="17" t="n"/>
    </row>
    <row r="649">
      <c r="A649" s="15" t="n"/>
      <c r="C649" s="16" t="n"/>
      <c r="D649" s="16" t="n"/>
      <c r="G649" s="17" t="n"/>
    </row>
    <row r="650">
      <c r="A650" s="15" t="n"/>
      <c r="C650" s="16" t="n"/>
      <c r="D650" s="16" t="n"/>
      <c r="G650" s="17" t="n"/>
    </row>
    <row r="651">
      <c r="A651" s="15" t="n"/>
      <c r="C651" s="16" t="n"/>
      <c r="D651" s="16" t="n"/>
      <c r="G651" s="17" t="n"/>
    </row>
    <row r="652">
      <c r="A652" s="15" t="n"/>
      <c r="C652" s="16" t="n"/>
      <c r="D652" s="16" t="n"/>
      <c r="G652" s="17" t="n"/>
    </row>
    <row r="653">
      <c r="A653" s="15" t="n"/>
      <c r="C653" s="16" t="n"/>
      <c r="D653" s="16" t="n"/>
      <c r="G653" s="17" t="n"/>
    </row>
    <row r="654">
      <c r="A654" s="15" t="n"/>
      <c r="C654" s="16" t="n"/>
      <c r="D654" s="16" t="n"/>
      <c r="G654" s="17" t="n"/>
    </row>
    <row r="655">
      <c r="A655" s="15" t="n"/>
      <c r="C655" s="16" t="n"/>
      <c r="D655" s="16" t="n"/>
      <c r="G655" s="17" t="n"/>
    </row>
    <row r="656">
      <c r="A656" s="15" t="n"/>
      <c r="C656" s="16" t="n"/>
      <c r="D656" s="16" t="n"/>
      <c r="G656" s="17" t="n"/>
    </row>
    <row r="657">
      <c r="A657" s="15" t="n"/>
      <c r="C657" s="16" t="n"/>
      <c r="D657" s="16" t="n"/>
      <c r="G657" s="17" t="n"/>
    </row>
    <row r="658">
      <c r="A658" s="15" t="n"/>
      <c r="C658" s="16" t="n"/>
      <c r="D658" s="16" t="n"/>
      <c r="G658" s="17" t="n"/>
    </row>
    <row r="659">
      <c r="A659" s="15" t="n"/>
      <c r="C659" s="16" t="n"/>
      <c r="D659" s="16" t="n"/>
      <c r="G659" s="17" t="n"/>
    </row>
    <row r="660">
      <c r="A660" s="15" t="n"/>
      <c r="C660" s="16" t="n"/>
      <c r="D660" s="16" t="n"/>
      <c r="G660" s="17" t="n"/>
    </row>
    <row r="661">
      <c r="A661" s="15" t="n"/>
      <c r="C661" s="16" t="n"/>
      <c r="D661" s="16" t="n"/>
      <c r="G661" s="17" t="n"/>
    </row>
    <row r="662">
      <c r="A662" s="15" t="n"/>
      <c r="C662" s="16" t="n"/>
      <c r="D662" s="16" t="n"/>
      <c r="G662" s="17" t="n"/>
    </row>
    <row r="663">
      <c r="A663" s="15" t="n"/>
      <c r="C663" s="16" t="n"/>
      <c r="D663" s="16" t="n"/>
      <c r="G663" s="17" t="n"/>
    </row>
    <row r="664">
      <c r="A664" s="15" t="n"/>
      <c r="C664" s="16" t="n"/>
      <c r="D664" s="16" t="n"/>
      <c r="G664" s="17" t="n"/>
    </row>
    <row r="665">
      <c r="A665" s="15" t="n"/>
      <c r="C665" s="16" t="n"/>
      <c r="D665" s="16" t="n"/>
      <c r="G665" s="17" t="n"/>
    </row>
    <row r="666">
      <c r="A666" s="15" t="n"/>
      <c r="C666" s="16" t="n"/>
      <c r="D666" s="16" t="n"/>
      <c r="G666" s="17" t="n"/>
    </row>
    <row r="667">
      <c r="A667" s="15" t="n"/>
      <c r="C667" s="16" t="n"/>
      <c r="D667" s="16" t="n"/>
      <c r="G667" s="17" t="n"/>
    </row>
    <row r="668">
      <c r="A668" s="15" t="n"/>
      <c r="C668" s="16" t="n"/>
      <c r="D668" s="16" t="n"/>
      <c r="G668" s="17" t="n"/>
    </row>
    <row r="669">
      <c r="A669" s="15" t="n"/>
      <c r="C669" s="16" t="n"/>
      <c r="D669" s="16" t="n"/>
      <c r="G669" s="17" t="n"/>
    </row>
    <row r="670">
      <c r="A670" s="15" t="n"/>
      <c r="C670" s="16" t="n"/>
      <c r="D670" s="16" t="n"/>
      <c r="G670" s="17" t="n"/>
    </row>
    <row r="671">
      <c r="A671" s="15" t="n"/>
      <c r="C671" s="16" t="n"/>
      <c r="D671" s="16" t="n"/>
      <c r="G671" s="17" t="n"/>
    </row>
    <row r="672">
      <c r="A672" s="15" t="n"/>
      <c r="C672" s="16" t="n"/>
      <c r="D672" s="16" t="n"/>
      <c r="G672" s="17" t="n"/>
    </row>
    <row r="673">
      <c r="A673" s="15" t="n"/>
      <c r="C673" s="16" t="n"/>
      <c r="D673" s="16" t="n"/>
      <c r="G673" s="17" t="n"/>
    </row>
    <row r="674">
      <c r="A674" s="15" t="n"/>
      <c r="C674" s="16" t="n"/>
      <c r="D674" s="16" t="n"/>
      <c r="G674" s="17" t="n"/>
    </row>
    <row r="675">
      <c r="A675" s="15" t="n"/>
      <c r="C675" s="16" t="n"/>
      <c r="D675" s="16" t="n"/>
      <c r="G675" s="17" t="n"/>
    </row>
    <row r="676">
      <c r="A676" s="15" t="n"/>
      <c r="C676" s="16" t="n"/>
      <c r="D676" s="16" t="n"/>
      <c r="G676" s="17" t="n"/>
    </row>
    <row r="677">
      <c r="A677" s="15" t="n"/>
      <c r="C677" s="16" t="n"/>
      <c r="D677" s="16" t="n"/>
      <c r="G677" s="17" t="n"/>
    </row>
    <row r="678">
      <c r="A678" s="15" t="n"/>
      <c r="C678" s="16" t="n"/>
      <c r="D678" s="16" t="n"/>
      <c r="G678" s="17" t="n"/>
    </row>
    <row r="679">
      <c r="A679" s="15" t="n"/>
      <c r="C679" s="16" t="n"/>
      <c r="D679" s="16" t="n"/>
      <c r="G679" s="17" t="n"/>
    </row>
    <row r="680">
      <c r="A680" s="15" t="n"/>
      <c r="C680" s="16" t="n"/>
      <c r="D680" s="16" t="n"/>
      <c r="G680" s="17" t="n"/>
    </row>
    <row r="681">
      <c r="A681" s="15" t="n"/>
      <c r="C681" s="16" t="n"/>
      <c r="D681" s="16" t="n"/>
      <c r="G681" s="17" t="n"/>
    </row>
    <row r="682">
      <c r="A682" s="15" t="n"/>
      <c r="C682" s="16" t="n"/>
      <c r="D682" s="16" t="n"/>
      <c r="G682" s="17" t="n"/>
    </row>
    <row r="683">
      <c r="A683" s="15" t="n"/>
      <c r="C683" s="16" t="n"/>
      <c r="D683" s="16" t="n"/>
      <c r="G683" s="17" t="n"/>
    </row>
    <row r="684">
      <c r="A684" s="15" t="n"/>
      <c r="C684" s="16" t="n"/>
      <c r="D684" s="16" t="n"/>
      <c r="G684" s="17" t="n"/>
    </row>
    <row r="685">
      <c r="A685" s="15" t="n"/>
      <c r="C685" s="16" t="n"/>
      <c r="D685" s="16" t="n"/>
      <c r="G685" s="17" t="n"/>
    </row>
    <row r="686">
      <c r="A686" s="15" t="n"/>
      <c r="C686" s="16" t="n"/>
      <c r="D686" s="16" t="n"/>
      <c r="G686" s="17" t="n"/>
    </row>
    <row r="687">
      <c r="A687" s="15" t="n"/>
      <c r="C687" s="16" t="n"/>
      <c r="D687" s="16" t="n"/>
      <c r="G687" s="17" t="n"/>
    </row>
    <row r="688">
      <c r="A688" s="15" t="n"/>
      <c r="C688" s="16" t="n"/>
      <c r="D688" s="16" t="n"/>
      <c r="G688" s="17" t="n"/>
    </row>
    <row r="689">
      <c r="A689" s="15" t="n"/>
      <c r="C689" s="16" t="n"/>
      <c r="D689" s="16" t="n"/>
      <c r="G689" s="17" t="n"/>
    </row>
    <row r="690">
      <c r="A690" s="15" t="n"/>
      <c r="C690" s="16" t="n"/>
      <c r="D690" s="16" t="n"/>
      <c r="G690" s="17" t="n"/>
    </row>
    <row r="691">
      <c r="A691" s="15" t="n"/>
      <c r="C691" s="16" t="n"/>
      <c r="D691" s="16" t="n"/>
      <c r="G691" s="17" t="n"/>
    </row>
    <row r="692">
      <c r="A692" s="15" t="n"/>
      <c r="C692" s="16" t="n"/>
      <c r="D692" s="16" t="n"/>
      <c r="G692" s="17" t="n"/>
    </row>
    <row r="693">
      <c r="A693" s="15" t="n"/>
      <c r="C693" s="16" t="n"/>
      <c r="D693" s="16" t="n"/>
      <c r="G693" s="17" t="n"/>
    </row>
    <row r="694">
      <c r="A694" s="15" t="n"/>
      <c r="C694" s="16" t="n"/>
      <c r="D694" s="16" t="n"/>
      <c r="G694" s="17" t="n"/>
    </row>
    <row r="695">
      <c r="A695" s="15" t="n"/>
      <c r="C695" s="16" t="n"/>
      <c r="D695" s="16" t="n"/>
      <c r="G695" s="17" t="n"/>
    </row>
    <row r="696">
      <c r="A696" s="15" t="n"/>
      <c r="C696" s="16" t="n"/>
      <c r="D696" s="16" t="n"/>
      <c r="G696" s="17" t="n"/>
    </row>
    <row r="697">
      <c r="A697" s="15" t="n"/>
      <c r="C697" s="16" t="n"/>
      <c r="D697" s="16" t="n"/>
      <c r="G697" s="17" t="n"/>
    </row>
    <row r="698">
      <c r="A698" s="15" t="n"/>
      <c r="C698" s="16" t="n"/>
      <c r="D698" s="16" t="n"/>
      <c r="G698" s="17" t="n"/>
    </row>
    <row r="699">
      <c r="A699" s="15" t="n"/>
      <c r="C699" s="16" t="n"/>
      <c r="D699" s="16" t="n"/>
      <c r="G699" s="17" t="n"/>
    </row>
    <row r="700">
      <c r="A700" s="15" t="n"/>
      <c r="C700" s="16" t="n"/>
      <c r="D700" s="16" t="n"/>
      <c r="G700" s="17" t="n"/>
    </row>
    <row r="701">
      <c r="A701" s="15" t="n"/>
      <c r="C701" s="16" t="n"/>
      <c r="D701" s="16" t="n"/>
      <c r="G701" s="17" t="n"/>
    </row>
    <row r="702">
      <c r="A702" s="15" t="n"/>
      <c r="C702" s="16" t="n"/>
      <c r="D702" s="16" t="n"/>
      <c r="G702" s="17" t="n"/>
    </row>
    <row r="703">
      <c r="A703" s="15" t="n"/>
      <c r="C703" s="16" t="n"/>
      <c r="D703" s="16" t="n"/>
      <c r="G703" s="17" t="n"/>
    </row>
    <row r="704">
      <c r="A704" s="15" t="n"/>
      <c r="C704" s="16" t="n"/>
      <c r="D704" s="16" t="n"/>
      <c r="G704" s="17" t="n"/>
    </row>
    <row r="705">
      <c r="A705" s="15" t="n"/>
      <c r="C705" s="16" t="n"/>
      <c r="D705" s="16" t="n"/>
      <c r="G705" s="17" t="n"/>
    </row>
    <row r="706">
      <c r="A706" s="15" t="n"/>
      <c r="C706" s="16" t="n"/>
      <c r="D706" s="16" t="n"/>
      <c r="G706" s="17" t="n"/>
    </row>
    <row r="707">
      <c r="A707" s="15" t="n"/>
      <c r="C707" s="16" t="n"/>
      <c r="D707" s="16" t="n"/>
      <c r="G707" s="17" t="n"/>
    </row>
    <row r="708">
      <c r="A708" s="15" t="n"/>
      <c r="C708" s="16" t="n"/>
      <c r="D708" s="16" t="n"/>
      <c r="G708" s="17" t="n"/>
    </row>
    <row r="709">
      <c r="A709" s="15" t="n"/>
      <c r="C709" s="16" t="n"/>
      <c r="D709" s="16" t="n"/>
      <c r="G709" s="17" t="n"/>
    </row>
    <row r="710">
      <c r="A710" s="15" t="n"/>
      <c r="C710" s="16" t="n"/>
      <c r="D710" s="16" t="n"/>
      <c r="G710" s="17" t="n"/>
    </row>
    <row r="711">
      <c r="A711" s="15" t="n"/>
      <c r="C711" s="16" t="n"/>
      <c r="D711" s="16" t="n"/>
      <c r="G711" s="17" t="n"/>
    </row>
    <row r="712">
      <c r="A712" s="15" t="n"/>
      <c r="C712" s="16" t="n"/>
      <c r="D712" s="16" t="n"/>
      <c r="G712" s="17" t="n"/>
    </row>
    <row r="713">
      <c r="A713" s="15" t="n"/>
      <c r="C713" s="16" t="n"/>
      <c r="D713" s="16" t="n"/>
      <c r="G713" s="17" t="n"/>
    </row>
    <row r="714">
      <c r="A714" s="15" t="n"/>
      <c r="C714" s="16" t="n"/>
      <c r="D714" s="16" t="n"/>
      <c r="G714" s="17" t="n"/>
    </row>
    <row r="715">
      <c r="A715" s="15" t="n"/>
      <c r="C715" s="16" t="n"/>
      <c r="D715" s="16" t="n"/>
      <c r="G715" s="17" t="n"/>
    </row>
    <row r="716">
      <c r="A716" s="15" t="n"/>
      <c r="C716" s="16" t="n"/>
      <c r="D716" s="16" t="n"/>
      <c r="G716" s="17" t="n"/>
    </row>
    <row r="717">
      <c r="A717" s="15" t="n"/>
      <c r="C717" s="16" t="n"/>
      <c r="D717" s="16" t="n"/>
      <c r="G717" s="17" t="n"/>
    </row>
    <row r="718">
      <c r="A718" s="15" t="n"/>
      <c r="C718" s="16" t="n"/>
      <c r="D718" s="16" t="n"/>
      <c r="G718" s="17" t="n"/>
    </row>
    <row r="719">
      <c r="A719" s="15" t="n"/>
      <c r="C719" s="16" t="n"/>
      <c r="D719" s="16" t="n"/>
      <c r="G719" s="17" t="n"/>
    </row>
    <row r="720">
      <c r="A720" s="15" t="n"/>
      <c r="C720" s="16" t="n"/>
      <c r="D720" s="16" t="n"/>
      <c r="G720" s="17" t="n"/>
    </row>
    <row r="721">
      <c r="A721" s="15" t="n"/>
      <c r="C721" s="16" t="n"/>
      <c r="D721" s="16" t="n"/>
      <c r="G721" s="17" t="n"/>
    </row>
    <row r="722">
      <c r="A722" s="15" t="n"/>
      <c r="C722" s="16" t="n"/>
      <c r="D722" s="16" t="n"/>
      <c r="G722" s="17" t="n"/>
    </row>
    <row r="723">
      <c r="A723" s="15" t="n"/>
      <c r="C723" s="16" t="n"/>
      <c r="D723" s="16" t="n"/>
      <c r="G723" s="17" t="n"/>
    </row>
    <row r="724">
      <c r="A724" s="15" t="n"/>
      <c r="C724" s="16" t="n"/>
      <c r="D724" s="16" t="n"/>
      <c r="G724" s="17" t="n"/>
    </row>
    <row r="725">
      <c r="A725" s="15" t="n"/>
      <c r="C725" s="16" t="n"/>
      <c r="D725" s="16" t="n"/>
      <c r="G725" s="17" t="n"/>
    </row>
    <row r="726">
      <c r="A726" s="15" t="n"/>
      <c r="C726" s="16" t="n"/>
      <c r="D726" s="16" t="n"/>
      <c r="G726" s="17" t="n"/>
    </row>
    <row r="727">
      <c r="A727" s="15" t="n"/>
      <c r="C727" s="16" t="n"/>
      <c r="D727" s="16" t="n"/>
      <c r="G727" s="17" t="n"/>
    </row>
    <row r="728">
      <c r="A728" s="15" t="n"/>
      <c r="C728" s="16" t="n"/>
      <c r="D728" s="16" t="n"/>
      <c r="G728" s="17" t="n"/>
    </row>
    <row r="729">
      <c r="A729" s="15" t="n"/>
      <c r="C729" s="16" t="n"/>
      <c r="D729" s="16" t="n"/>
      <c r="G729" s="17" t="n"/>
    </row>
    <row r="730">
      <c r="A730" s="15" t="n"/>
      <c r="C730" s="16" t="n"/>
      <c r="D730" s="16" t="n"/>
      <c r="G730" s="17" t="n"/>
    </row>
    <row r="731">
      <c r="A731" s="15" t="n"/>
      <c r="C731" s="16" t="n"/>
      <c r="D731" s="16" t="n"/>
      <c r="G731" s="17" t="n"/>
    </row>
    <row r="732">
      <c r="A732" s="15" t="n"/>
      <c r="C732" s="16" t="n"/>
      <c r="D732" s="16" t="n"/>
      <c r="G732" s="17" t="n"/>
    </row>
    <row r="733">
      <c r="A733" s="15" t="n"/>
      <c r="C733" s="16" t="n"/>
      <c r="D733" s="16" t="n"/>
      <c r="G733" s="17" t="n"/>
    </row>
    <row r="734">
      <c r="A734" s="15" t="n"/>
      <c r="C734" s="16" t="n"/>
      <c r="D734" s="16" t="n"/>
      <c r="G734" s="17" t="n"/>
    </row>
    <row r="735">
      <c r="A735" s="15" t="n"/>
      <c r="C735" s="16" t="n"/>
      <c r="D735" s="16" t="n"/>
      <c r="G735" s="17" t="n"/>
    </row>
    <row r="736">
      <c r="A736" s="15" t="n"/>
      <c r="C736" s="16" t="n"/>
      <c r="D736" s="16" t="n"/>
      <c r="G736" s="17" t="n"/>
    </row>
    <row r="737">
      <c r="A737" s="15" t="n"/>
      <c r="C737" s="16" t="n"/>
      <c r="D737" s="16" t="n"/>
      <c r="G737" s="17" t="n"/>
    </row>
    <row r="738">
      <c r="A738" s="15" t="n"/>
      <c r="C738" s="16" t="n"/>
      <c r="D738" s="16" t="n"/>
      <c r="G738" s="17" t="n"/>
    </row>
    <row r="739">
      <c r="A739" s="15" t="n"/>
      <c r="C739" s="16" t="n"/>
      <c r="D739" s="16" t="n"/>
      <c r="G739" s="17" t="n"/>
    </row>
    <row r="740">
      <c r="A740" s="15" t="n"/>
      <c r="C740" s="16" t="n"/>
      <c r="D740" s="16" t="n"/>
      <c r="G740" s="17" t="n"/>
    </row>
    <row r="741">
      <c r="A741" s="15" t="n"/>
      <c r="C741" s="16" t="n"/>
      <c r="D741" s="16" t="n"/>
      <c r="G741" s="17" t="n"/>
    </row>
    <row r="742">
      <c r="A742" s="15" t="n"/>
      <c r="C742" s="16" t="n"/>
      <c r="D742" s="16" t="n"/>
      <c r="G742" s="17" t="n"/>
    </row>
    <row r="743">
      <c r="A743" s="15" t="n"/>
      <c r="C743" s="16" t="n"/>
      <c r="D743" s="16" t="n"/>
      <c r="G743" s="17" t="n"/>
    </row>
    <row r="744">
      <c r="A744" s="15" t="n"/>
      <c r="C744" s="16" t="n"/>
      <c r="D744" s="16" t="n"/>
      <c r="G744" s="17" t="n"/>
    </row>
    <row r="745">
      <c r="A745" s="15" t="n"/>
      <c r="C745" s="16" t="n"/>
      <c r="D745" s="16" t="n"/>
      <c r="G745" s="17" t="n"/>
    </row>
    <row r="746">
      <c r="A746" s="15" t="n"/>
      <c r="C746" s="16" t="n"/>
      <c r="D746" s="16" t="n"/>
      <c r="G746" s="17" t="n"/>
    </row>
    <row r="747">
      <c r="A747" s="15" t="n"/>
      <c r="C747" s="16" t="n"/>
      <c r="D747" s="16" t="n"/>
      <c r="G747" s="17" t="n"/>
    </row>
    <row r="748">
      <c r="A748" s="15" t="n"/>
      <c r="C748" s="16" t="n"/>
      <c r="D748" s="16" t="n"/>
      <c r="G748" s="17" t="n"/>
    </row>
    <row r="749">
      <c r="A749" s="15" t="n"/>
      <c r="C749" s="16" t="n"/>
      <c r="D749" s="16" t="n"/>
      <c r="G749" s="17" t="n"/>
    </row>
    <row r="750">
      <c r="A750" s="15" t="n"/>
      <c r="C750" s="16" t="n"/>
      <c r="D750" s="16" t="n"/>
      <c r="G750" s="17" t="n"/>
    </row>
    <row r="751">
      <c r="A751" s="15" t="n"/>
      <c r="C751" s="16" t="n"/>
      <c r="D751" s="16" t="n"/>
      <c r="G751" s="17" t="n"/>
    </row>
    <row r="752">
      <c r="A752" s="15" t="n"/>
      <c r="C752" s="16" t="n"/>
      <c r="D752" s="16" t="n"/>
      <c r="G752" s="17" t="n"/>
    </row>
    <row r="753">
      <c r="A753" s="15" t="n"/>
      <c r="C753" s="16" t="n"/>
      <c r="D753" s="16" t="n"/>
      <c r="G753" s="17" t="n"/>
    </row>
    <row r="754">
      <c r="A754" s="15" t="n"/>
      <c r="C754" s="16" t="n"/>
      <c r="D754" s="16" t="n"/>
      <c r="G754" s="17" t="n"/>
    </row>
    <row r="755">
      <c r="A755" s="15" t="n"/>
      <c r="C755" s="16" t="n"/>
      <c r="D755" s="16" t="n"/>
      <c r="G755" s="17" t="n"/>
    </row>
    <row r="756">
      <c r="A756" s="15" t="n"/>
      <c r="C756" s="16" t="n"/>
      <c r="D756" s="16" t="n"/>
      <c r="G756" s="17" t="n"/>
    </row>
    <row r="757">
      <c r="A757" s="15" t="n"/>
      <c r="C757" s="16" t="n"/>
      <c r="D757" s="16" t="n"/>
      <c r="G757" s="17" t="n"/>
    </row>
    <row r="758">
      <c r="A758" s="15" t="n"/>
      <c r="C758" s="16" t="n"/>
      <c r="D758" s="16" t="n"/>
      <c r="G758" s="17" t="n"/>
    </row>
    <row r="759">
      <c r="A759" s="15" t="n"/>
      <c r="C759" s="16" t="n"/>
      <c r="D759" s="16" t="n"/>
      <c r="G759" s="17" t="n"/>
    </row>
    <row r="760">
      <c r="A760" s="15" t="n"/>
      <c r="C760" s="16" t="n"/>
      <c r="D760" s="16" t="n"/>
      <c r="G760" s="17" t="n"/>
    </row>
    <row r="761">
      <c r="A761" s="15" t="n"/>
      <c r="C761" s="16" t="n"/>
      <c r="D761" s="16" t="n"/>
      <c r="G761" s="17" t="n"/>
    </row>
    <row r="762">
      <c r="A762" s="15" t="n"/>
      <c r="C762" s="16" t="n"/>
      <c r="D762" s="16" t="n"/>
      <c r="G762" s="17" t="n"/>
    </row>
    <row r="763">
      <c r="A763" s="15" t="n"/>
      <c r="C763" s="16" t="n"/>
      <c r="D763" s="16" t="n"/>
      <c r="G763" s="17" t="n"/>
    </row>
    <row r="764">
      <c r="A764" s="15" t="n"/>
      <c r="C764" s="16" t="n"/>
      <c r="D764" s="16" t="n"/>
      <c r="G764" s="17" t="n"/>
    </row>
    <row r="765">
      <c r="A765" s="15" t="n"/>
      <c r="C765" s="16" t="n"/>
      <c r="D765" s="16" t="n"/>
      <c r="G765" s="17" t="n"/>
    </row>
    <row r="766">
      <c r="A766" s="15" t="n"/>
      <c r="C766" s="16" t="n"/>
      <c r="D766" s="16" t="n"/>
      <c r="G766" s="17" t="n"/>
    </row>
    <row r="767">
      <c r="A767" s="15" t="n"/>
      <c r="C767" s="16" t="n"/>
      <c r="D767" s="16" t="n"/>
      <c r="G767" s="17" t="n"/>
    </row>
    <row r="768">
      <c r="A768" s="15" t="n"/>
      <c r="C768" s="16" t="n"/>
      <c r="D768" s="16" t="n"/>
      <c r="G768" s="17" t="n"/>
    </row>
    <row r="769">
      <c r="A769" s="15" t="n"/>
      <c r="C769" s="16" t="n"/>
      <c r="D769" s="16" t="n"/>
      <c r="G769" s="17" t="n"/>
    </row>
    <row r="770">
      <c r="A770" s="15" t="n"/>
      <c r="C770" s="16" t="n"/>
      <c r="D770" s="16" t="n"/>
      <c r="G770" s="17" t="n"/>
    </row>
    <row r="771">
      <c r="A771" s="15" t="n"/>
      <c r="C771" s="16" t="n"/>
      <c r="D771" s="16" t="n"/>
      <c r="G771" s="17" t="n"/>
    </row>
    <row r="772">
      <c r="A772" s="15" t="n"/>
      <c r="C772" s="16" t="n"/>
      <c r="D772" s="16" t="n"/>
      <c r="G772" s="17" t="n"/>
    </row>
    <row r="773">
      <c r="A773" s="15" t="n"/>
      <c r="C773" s="16" t="n"/>
      <c r="D773" s="16" t="n"/>
      <c r="G773" s="17" t="n"/>
    </row>
    <row r="774">
      <c r="A774" s="15" t="n"/>
      <c r="C774" s="16" t="n"/>
      <c r="D774" s="16" t="n"/>
      <c r="G774" s="17" t="n"/>
    </row>
    <row r="775">
      <c r="A775" s="15" t="n"/>
      <c r="C775" s="16" t="n"/>
      <c r="D775" s="16" t="n"/>
      <c r="G775" s="17" t="n"/>
    </row>
    <row r="776">
      <c r="A776" s="15" t="n"/>
      <c r="C776" s="16" t="n"/>
      <c r="D776" s="16" t="n"/>
      <c r="G776" s="17" t="n"/>
    </row>
    <row r="777">
      <c r="A777" s="15" t="n"/>
      <c r="C777" s="16" t="n"/>
      <c r="D777" s="16" t="n"/>
      <c r="G777" s="17" t="n"/>
    </row>
    <row r="778">
      <c r="A778" s="15" t="n"/>
      <c r="C778" s="16" t="n"/>
      <c r="D778" s="16" t="n"/>
      <c r="G778" s="17" t="n"/>
    </row>
    <row r="779">
      <c r="A779" s="15" t="n"/>
      <c r="C779" s="16" t="n"/>
      <c r="D779" s="16" t="n"/>
      <c r="G779" s="17" t="n"/>
    </row>
    <row r="780">
      <c r="A780" s="15" t="n"/>
      <c r="C780" s="16" t="n"/>
      <c r="D780" s="16" t="n"/>
      <c r="G780" s="17" t="n"/>
    </row>
    <row r="781">
      <c r="A781" s="15" t="n"/>
      <c r="C781" s="16" t="n"/>
      <c r="D781" s="16" t="n"/>
      <c r="G781" s="17" t="n"/>
    </row>
    <row r="782">
      <c r="A782" s="15" t="n"/>
      <c r="C782" s="16" t="n"/>
      <c r="D782" s="16" t="n"/>
      <c r="G782" s="17" t="n"/>
    </row>
    <row r="783">
      <c r="A783" s="15" t="n"/>
      <c r="C783" s="16" t="n"/>
      <c r="D783" s="16" t="n"/>
      <c r="G783" s="17" t="n"/>
    </row>
    <row r="784">
      <c r="A784" s="15" t="n"/>
      <c r="C784" s="16" t="n"/>
      <c r="D784" s="16" t="n"/>
      <c r="G784" s="17" t="n"/>
    </row>
    <row r="785">
      <c r="A785" s="15" t="n"/>
      <c r="C785" s="16" t="n"/>
      <c r="D785" s="16" t="n"/>
      <c r="G785" s="17" t="n"/>
    </row>
    <row r="786">
      <c r="A786" s="15" t="n"/>
      <c r="C786" s="16" t="n"/>
      <c r="D786" s="16" t="n"/>
      <c r="G786" s="17" t="n"/>
    </row>
    <row r="787">
      <c r="A787" s="15" t="n"/>
      <c r="C787" s="16" t="n"/>
      <c r="D787" s="16" t="n"/>
      <c r="G787" s="17" t="n"/>
    </row>
    <row r="788">
      <c r="A788" s="15" t="n"/>
      <c r="C788" s="16" t="n"/>
      <c r="D788" s="16" t="n"/>
      <c r="G788" s="17" t="n"/>
    </row>
    <row r="789">
      <c r="A789" s="15" t="n"/>
      <c r="C789" s="16" t="n"/>
      <c r="D789" s="16" t="n"/>
      <c r="G789" s="17" t="n"/>
    </row>
    <row r="790">
      <c r="A790" s="15" t="n"/>
      <c r="C790" s="16" t="n"/>
      <c r="D790" s="16" t="n"/>
      <c r="G790" s="17" t="n"/>
    </row>
    <row r="791">
      <c r="A791" s="15" t="n"/>
      <c r="C791" s="16" t="n"/>
      <c r="D791" s="16" t="n"/>
      <c r="G791" s="17" t="n"/>
    </row>
    <row r="792">
      <c r="A792" s="15" t="n"/>
      <c r="C792" s="16" t="n"/>
      <c r="D792" s="16" t="n"/>
      <c r="G792" s="17" t="n"/>
    </row>
    <row r="793">
      <c r="A793" s="15" t="n"/>
      <c r="C793" s="16" t="n"/>
      <c r="D793" s="16" t="n"/>
      <c r="G793" s="17" t="n"/>
    </row>
    <row r="794">
      <c r="A794" s="15" t="n"/>
      <c r="C794" s="16" t="n"/>
      <c r="D794" s="16" t="n"/>
      <c r="G794" s="17" t="n"/>
    </row>
    <row r="795">
      <c r="A795" s="15" t="n"/>
      <c r="C795" s="16" t="n"/>
      <c r="D795" s="16" t="n"/>
      <c r="G795" s="17" t="n"/>
    </row>
    <row r="796">
      <c r="A796" s="15" t="n"/>
      <c r="C796" s="16" t="n"/>
      <c r="D796" s="16" t="n"/>
      <c r="G796" s="17" t="n"/>
    </row>
    <row r="797">
      <c r="A797" s="15" t="n"/>
      <c r="C797" s="16" t="n"/>
      <c r="D797" s="16" t="n"/>
      <c r="G797" s="17" t="n"/>
    </row>
    <row r="798">
      <c r="A798" s="15" t="n"/>
      <c r="C798" s="16" t="n"/>
      <c r="D798" s="16" t="n"/>
      <c r="G798" s="17" t="n"/>
    </row>
    <row r="799">
      <c r="A799" s="15" t="n"/>
      <c r="C799" s="16" t="n"/>
      <c r="D799" s="16" t="n"/>
      <c r="G799" s="17" t="n"/>
    </row>
    <row r="800">
      <c r="A800" s="15" t="n"/>
      <c r="C800" s="16" t="n"/>
      <c r="D800" s="16" t="n"/>
      <c r="G800" s="17" t="n"/>
    </row>
    <row r="801">
      <c r="A801" s="15" t="n"/>
      <c r="C801" s="16" t="n"/>
      <c r="D801" s="16" t="n"/>
      <c r="G801" s="17" t="n"/>
    </row>
    <row r="802">
      <c r="A802" s="15" t="n"/>
      <c r="C802" s="16" t="n"/>
      <c r="D802" s="16" t="n"/>
      <c r="G802" s="17" t="n"/>
    </row>
    <row r="803">
      <c r="A803" s="15" t="n"/>
      <c r="C803" s="16" t="n"/>
      <c r="D803" s="16" t="n"/>
      <c r="G803" s="17" t="n"/>
    </row>
    <row r="804">
      <c r="A804" s="15" t="n"/>
      <c r="C804" s="16" t="n"/>
      <c r="D804" s="16" t="n"/>
      <c r="G804" s="17" t="n"/>
    </row>
    <row r="805">
      <c r="A805" s="15" t="n"/>
      <c r="C805" s="16" t="n"/>
      <c r="D805" s="16" t="n"/>
      <c r="G805" s="17" t="n"/>
    </row>
    <row r="806">
      <c r="A806" s="15" t="n"/>
      <c r="C806" s="16" t="n"/>
      <c r="D806" s="16" t="n"/>
      <c r="G806" s="17" t="n"/>
    </row>
    <row r="807">
      <c r="A807" s="15" t="n"/>
      <c r="C807" s="16" t="n"/>
      <c r="D807" s="16" t="n"/>
      <c r="G807" s="17" t="n"/>
    </row>
    <row r="808">
      <c r="A808" s="15" t="n"/>
      <c r="C808" s="16" t="n"/>
      <c r="D808" s="16" t="n"/>
      <c r="G808" s="17" t="n"/>
    </row>
    <row r="809">
      <c r="A809" s="15" t="n"/>
      <c r="C809" s="16" t="n"/>
      <c r="D809" s="16" t="n"/>
      <c r="G809" s="17" t="n"/>
    </row>
    <row r="810">
      <c r="A810" s="15" t="n"/>
      <c r="C810" s="16" t="n"/>
      <c r="D810" s="16" t="n"/>
      <c r="G810" s="17" t="n"/>
    </row>
    <row r="811">
      <c r="A811" s="15" t="n"/>
      <c r="C811" s="16" t="n"/>
      <c r="D811" s="16" t="n"/>
      <c r="G811" s="17" t="n"/>
    </row>
    <row r="812">
      <c r="A812" s="15" t="n"/>
      <c r="C812" s="16" t="n"/>
      <c r="D812" s="16" t="n"/>
      <c r="G812" s="17" t="n"/>
    </row>
    <row r="813">
      <c r="A813" s="15" t="n"/>
      <c r="C813" s="16" t="n"/>
      <c r="D813" s="16" t="n"/>
      <c r="G813" s="17" t="n"/>
    </row>
    <row r="814">
      <c r="A814" s="15" t="n"/>
      <c r="C814" s="16" t="n"/>
      <c r="D814" s="16" t="n"/>
      <c r="G814" s="17" t="n"/>
    </row>
    <row r="815">
      <c r="A815" s="15" t="n"/>
      <c r="C815" s="16" t="n"/>
      <c r="D815" s="16" t="n"/>
      <c r="G815" s="17" t="n"/>
    </row>
    <row r="816">
      <c r="A816" s="15" t="n"/>
      <c r="C816" s="16" t="n"/>
      <c r="D816" s="16" t="n"/>
      <c r="G816" s="17" t="n"/>
    </row>
    <row r="817">
      <c r="A817" s="15" t="n"/>
      <c r="C817" s="16" t="n"/>
      <c r="D817" s="16" t="n"/>
      <c r="G817" s="17" t="n"/>
    </row>
    <row r="818">
      <c r="A818" s="15" t="n"/>
      <c r="C818" s="16" t="n"/>
      <c r="D818" s="16" t="n"/>
      <c r="G818" s="17" t="n"/>
    </row>
    <row r="819">
      <c r="A819" s="15" t="n"/>
      <c r="C819" s="16" t="n"/>
      <c r="D819" s="16" t="n"/>
      <c r="G819" s="17" t="n"/>
    </row>
    <row r="820">
      <c r="A820" s="15" t="n"/>
      <c r="C820" s="16" t="n"/>
      <c r="D820" s="16" t="n"/>
      <c r="G820" s="17" t="n"/>
    </row>
    <row r="821">
      <c r="A821" s="15" t="n"/>
      <c r="C821" s="16" t="n"/>
      <c r="D821" s="16" t="n"/>
      <c r="G821" s="17" t="n"/>
    </row>
    <row r="822">
      <c r="A822" s="15" t="n"/>
      <c r="C822" s="16" t="n"/>
      <c r="D822" s="16" t="n"/>
      <c r="G822" s="17" t="n"/>
    </row>
    <row r="823">
      <c r="A823" s="15" t="n"/>
      <c r="C823" s="16" t="n"/>
      <c r="D823" s="16" t="n"/>
      <c r="G823" s="17" t="n"/>
    </row>
    <row r="824">
      <c r="A824" s="15" t="n"/>
      <c r="C824" s="16" t="n"/>
      <c r="D824" s="16" t="n"/>
      <c r="G824" s="17" t="n"/>
    </row>
    <row r="825">
      <c r="A825" s="15" t="n"/>
      <c r="C825" s="16" t="n"/>
      <c r="D825" s="16" t="n"/>
      <c r="G825" s="17" t="n"/>
    </row>
    <row r="826">
      <c r="A826" s="15" t="n"/>
      <c r="C826" s="16" t="n"/>
      <c r="D826" s="16" t="n"/>
      <c r="G826" s="17" t="n"/>
    </row>
    <row r="827">
      <c r="A827" s="15" t="n"/>
      <c r="C827" s="16" t="n"/>
      <c r="D827" s="16" t="n"/>
      <c r="G827" s="17" t="n"/>
    </row>
    <row r="828">
      <c r="A828" s="15" t="n"/>
      <c r="C828" s="16" t="n"/>
      <c r="D828" s="16" t="n"/>
      <c r="G828" s="17" t="n"/>
    </row>
    <row r="829">
      <c r="A829" s="15" t="n"/>
      <c r="C829" s="16" t="n"/>
      <c r="D829" s="16" t="n"/>
      <c r="G829" s="17" t="n"/>
    </row>
    <row r="830">
      <c r="A830" s="15" t="n"/>
      <c r="C830" s="16" t="n"/>
      <c r="D830" s="16" t="n"/>
      <c r="G830" s="17" t="n"/>
    </row>
    <row r="831">
      <c r="A831" s="15" t="n"/>
      <c r="C831" s="16" t="n"/>
      <c r="D831" s="16" t="n"/>
      <c r="G831" s="17" t="n"/>
    </row>
    <row r="832">
      <c r="A832" s="15" t="n"/>
      <c r="C832" s="16" t="n"/>
      <c r="D832" s="16" t="n"/>
      <c r="G832" s="17" t="n"/>
    </row>
    <row r="833">
      <c r="A833" s="15" t="n"/>
      <c r="C833" s="16" t="n"/>
      <c r="D833" s="16" t="n"/>
      <c r="G833" s="17" t="n"/>
    </row>
    <row r="834">
      <c r="A834" s="15" t="n"/>
      <c r="C834" s="16" t="n"/>
      <c r="D834" s="16" t="n"/>
      <c r="G834" s="17" t="n"/>
    </row>
    <row r="835">
      <c r="A835" s="15" t="n"/>
      <c r="C835" s="16" t="n"/>
      <c r="D835" s="16" t="n"/>
      <c r="G835" s="17" t="n"/>
    </row>
    <row r="836">
      <c r="A836" s="15" t="n"/>
      <c r="C836" s="16" t="n"/>
      <c r="D836" s="16" t="n"/>
      <c r="G836" s="17" t="n"/>
    </row>
    <row r="837">
      <c r="A837" s="15" t="n"/>
      <c r="C837" s="16" t="n"/>
      <c r="D837" s="16" t="n"/>
      <c r="G837" s="17" t="n"/>
    </row>
    <row r="838">
      <c r="A838" s="15" t="n"/>
      <c r="C838" s="16" t="n"/>
      <c r="D838" s="16" t="n"/>
      <c r="G838" s="17" t="n"/>
    </row>
    <row r="839">
      <c r="A839" s="15" t="n"/>
      <c r="C839" s="16" t="n"/>
      <c r="D839" s="16" t="n"/>
      <c r="G839" s="17" t="n"/>
    </row>
    <row r="840">
      <c r="A840" s="15" t="n"/>
      <c r="C840" s="16" t="n"/>
      <c r="D840" s="16" t="n"/>
      <c r="G840" s="17" t="n"/>
    </row>
    <row r="841">
      <c r="A841" s="15" t="n"/>
      <c r="C841" s="16" t="n"/>
      <c r="D841" s="16" t="n"/>
      <c r="G841" s="17" t="n"/>
    </row>
    <row r="842">
      <c r="A842" s="15" t="n"/>
      <c r="C842" s="16" t="n"/>
      <c r="D842" s="16" t="n"/>
      <c r="G842" s="17" t="n"/>
    </row>
    <row r="843">
      <c r="A843" s="15" t="n"/>
      <c r="C843" s="16" t="n"/>
      <c r="D843" s="16" t="n"/>
      <c r="G843" s="17" t="n"/>
    </row>
    <row r="844">
      <c r="A844" s="15" t="n"/>
      <c r="C844" s="16" t="n"/>
      <c r="D844" s="16" t="n"/>
      <c r="G844" s="17" t="n"/>
    </row>
    <row r="845">
      <c r="A845" s="15" t="n"/>
      <c r="C845" s="16" t="n"/>
      <c r="D845" s="16" t="n"/>
      <c r="G845" s="17" t="n"/>
    </row>
    <row r="846">
      <c r="A846" s="15" t="n"/>
      <c r="C846" s="16" t="n"/>
      <c r="D846" s="16" t="n"/>
      <c r="G846" s="17" t="n"/>
    </row>
    <row r="847">
      <c r="A847" s="15" t="n"/>
      <c r="C847" s="16" t="n"/>
      <c r="D847" s="16" t="n"/>
      <c r="G847" s="17" t="n"/>
    </row>
    <row r="848">
      <c r="A848" s="15" t="n"/>
      <c r="C848" s="16" t="n"/>
      <c r="D848" s="16" t="n"/>
      <c r="G848" s="17" t="n"/>
    </row>
    <row r="849">
      <c r="A849" s="15" t="n"/>
      <c r="C849" s="16" t="n"/>
      <c r="D849" s="16" t="n"/>
      <c r="G849" s="17" t="n"/>
    </row>
    <row r="850">
      <c r="A850" s="15" t="n"/>
      <c r="C850" s="16" t="n"/>
      <c r="D850" s="16" t="n"/>
      <c r="G850" s="17" t="n"/>
    </row>
    <row r="851">
      <c r="A851" s="15" t="n"/>
      <c r="C851" s="16" t="n"/>
      <c r="D851" s="16" t="n"/>
      <c r="G851" s="17" t="n"/>
    </row>
    <row r="852">
      <c r="A852" s="15" t="n"/>
      <c r="C852" s="16" t="n"/>
      <c r="D852" s="16" t="n"/>
      <c r="G852" s="17" t="n"/>
    </row>
    <row r="853">
      <c r="A853" s="15" t="n"/>
      <c r="C853" s="16" t="n"/>
      <c r="D853" s="16" t="n"/>
      <c r="G853" s="17" t="n"/>
    </row>
    <row r="854">
      <c r="A854" s="15" t="n"/>
      <c r="C854" s="16" t="n"/>
      <c r="D854" s="16" t="n"/>
      <c r="G854" s="17" t="n"/>
    </row>
    <row r="855">
      <c r="A855" s="15" t="n"/>
      <c r="C855" s="16" t="n"/>
      <c r="D855" s="16" t="n"/>
      <c r="G855" s="17" t="n"/>
    </row>
    <row r="856">
      <c r="A856" s="15" t="n"/>
      <c r="C856" s="16" t="n"/>
      <c r="D856" s="16" t="n"/>
      <c r="G856" s="17" t="n"/>
    </row>
    <row r="857">
      <c r="A857" s="15" t="n"/>
      <c r="C857" s="16" t="n"/>
      <c r="D857" s="16" t="n"/>
      <c r="G857" s="17" t="n"/>
    </row>
    <row r="858">
      <c r="A858" s="15" t="n"/>
      <c r="C858" s="16" t="n"/>
      <c r="D858" s="16" t="n"/>
      <c r="G858" s="17" t="n"/>
    </row>
    <row r="859">
      <c r="A859" s="15" t="n"/>
      <c r="C859" s="16" t="n"/>
      <c r="D859" s="16" t="n"/>
      <c r="G859" s="17" t="n"/>
    </row>
    <row r="860">
      <c r="A860" s="15" t="n"/>
      <c r="C860" s="16" t="n"/>
      <c r="D860" s="16" t="n"/>
      <c r="G860" s="17" t="n"/>
    </row>
    <row r="861">
      <c r="A861" s="15" t="n"/>
      <c r="C861" s="16" t="n"/>
      <c r="D861" s="16" t="n"/>
      <c r="G861" s="17" t="n"/>
    </row>
    <row r="862">
      <c r="A862" s="15" t="n"/>
      <c r="C862" s="16" t="n"/>
      <c r="D862" s="16" t="n"/>
      <c r="G862" s="17" t="n"/>
    </row>
    <row r="863">
      <c r="A863" s="15" t="n"/>
      <c r="C863" s="16" t="n"/>
      <c r="D863" s="16" t="n"/>
      <c r="G863" s="17" t="n"/>
    </row>
    <row r="864">
      <c r="A864" s="15" t="n"/>
      <c r="C864" s="16" t="n"/>
      <c r="D864" s="16" t="n"/>
      <c r="G864" s="17" t="n"/>
    </row>
    <row r="865">
      <c r="A865" s="15" t="n"/>
      <c r="C865" s="16" t="n"/>
      <c r="D865" s="16" t="n"/>
      <c r="G865" s="17" t="n"/>
    </row>
    <row r="866">
      <c r="A866" s="15" t="n"/>
      <c r="C866" s="16" t="n"/>
      <c r="D866" s="16" t="n"/>
      <c r="G866" s="17" t="n"/>
    </row>
    <row r="867">
      <c r="A867" s="15" t="n"/>
      <c r="C867" s="16" t="n"/>
      <c r="D867" s="16" t="n"/>
      <c r="G867" s="17" t="n"/>
    </row>
    <row r="868">
      <c r="A868" s="15" t="n"/>
      <c r="C868" s="16" t="n"/>
      <c r="D868" s="16" t="n"/>
      <c r="G868" s="17" t="n"/>
    </row>
    <row r="869">
      <c r="A869" s="15" t="n"/>
      <c r="C869" s="16" t="n"/>
      <c r="D869" s="16" t="n"/>
      <c r="G869" s="17" t="n"/>
    </row>
    <row r="870">
      <c r="A870" s="15" t="n"/>
      <c r="C870" s="16" t="n"/>
      <c r="D870" s="16" t="n"/>
      <c r="G870" s="17" t="n"/>
    </row>
    <row r="871">
      <c r="A871" s="15" t="n"/>
      <c r="C871" s="16" t="n"/>
      <c r="D871" s="16" t="n"/>
      <c r="G871" s="17" t="n"/>
    </row>
    <row r="872">
      <c r="A872" s="15" t="n"/>
      <c r="C872" s="16" t="n"/>
      <c r="D872" s="16" t="n"/>
      <c r="G872" s="17" t="n"/>
    </row>
    <row r="873">
      <c r="A873" s="15" t="n"/>
      <c r="C873" s="16" t="n"/>
      <c r="D873" s="16" t="n"/>
      <c r="G873" s="17" t="n"/>
    </row>
    <row r="874">
      <c r="A874" s="15" t="n"/>
      <c r="C874" s="16" t="n"/>
      <c r="D874" s="16" t="n"/>
      <c r="G874" s="17" t="n"/>
    </row>
    <row r="875">
      <c r="A875" s="15" t="n"/>
      <c r="C875" s="16" t="n"/>
      <c r="D875" s="16" t="n"/>
      <c r="G875" s="17" t="n"/>
    </row>
    <row r="876">
      <c r="A876" s="15" t="n"/>
      <c r="C876" s="16" t="n"/>
      <c r="D876" s="16" t="n"/>
      <c r="G876" s="17" t="n"/>
    </row>
    <row r="877">
      <c r="A877" s="15" t="n"/>
      <c r="C877" s="16" t="n"/>
      <c r="D877" s="16" t="n"/>
      <c r="G877" s="17" t="n"/>
    </row>
    <row r="878">
      <c r="A878" s="15" t="n"/>
      <c r="C878" s="16" t="n"/>
      <c r="D878" s="16" t="n"/>
      <c r="G878" s="17" t="n"/>
    </row>
    <row r="879">
      <c r="A879" s="15" t="n"/>
      <c r="C879" s="16" t="n"/>
      <c r="D879" s="16" t="n"/>
      <c r="G879" s="17" t="n"/>
    </row>
    <row r="880">
      <c r="A880" s="15" t="n"/>
      <c r="C880" s="16" t="n"/>
      <c r="D880" s="16" t="n"/>
      <c r="G880" s="17" t="n"/>
    </row>
    <row r="881">
      <c r="A881" s="15" t="n"/>
      <c r="C881" s="16" t="n"/>
      <c r="D881" s="16" t="n"/>
      <c r="G881" s="17" t="n"/>
    </row>
    <row r="882">
      <c r="A882" s="15" t="n"/>
      <c r="C882" s="16" t="n"/>
      <c r="D882" s="16" t="n"/>
      <c r="G882" s="17" t="n"/>
    </row>
    <row r="883">
      <c r="A883" s="15" t="n"/>
      <c r="C883" s="16" t="n"/>
      <c r="D883" s="16" t="n"/>
      <c r="G883" s="17" t="n"/>
    </row>
    <row r="884">
      <c r="A884" s="15" t="n"/>
      <c r="C884" s="16" t="n"/>
      <c r="D884" s="16" t="n"/>
      <c r="G884" s="17" t="n"/>
    </row>
    <row r="885">
      <c r="A885" s="15" t="n"/>
      <c r="C885" s="16" t="n"/>
      <c r="D885" s="16" t="n"/>
      <c r="G885" s="17" t="n"/>
    </row>
    <row r="886">
      <c r="A886" s="15" t="n"/>
      <c r="C886" s="16" t="n"/>
      <c r="D886" s="16" t="n"/>
      <c r="G886" s="17" t="n"/>
    </row>
    <row r="887">
      <c r="A887" s="15" t="n"/>
      <c r="C887" s="16" t="n"/>
      <c r="D887" s="16" t="n"/>
      <c r="G887" s="17" t="n"/>
    </row>
    <row r="888">
      <c r="A888" s="15" t="n"/>
      <c r="C888" s="16" t="n"/>
      <c r="D888" s="16" t="n"/>
      <c r="G888" s="17" t="n"/>
    </row>
    <row r="889">
      <c r="A889" s="15" t="n"/>
      <c r="C889" s="16" t="n"/>
      <c r="D889" s="16" t="n"/>
      <c r="G889" s="17" t="n"/>
    </row>
    <row r="890">
      <c r="A890" s="15" t="n"/>
      <c r="C890" s="16" t="n"/>
      <c r="D890" s="16" t="n"/>
      <c r="G890" s="17" t="n"/>
    </row>
    <row r="891">
      <c r="A891" s="15" t="n"/>
      <c r="C891" s="16" t="n"/>
      <c r="D891" s="16" t="n"/>
      <c r="G891" s="17" t="n"/>
    </row>
    <row r="892">
      <c r="A892" s="15" t="n"/>
      <c r="C892" s="16" t="n"/>
      <c r="D892" s="16" t="n"/>
      <c r="G892" s="17" t="n"/>
    </row>
    <row r="893">
      <c r="A893" s="15" t="n"/>
      <c r="C893" s="16" t="n"/>
      <c r="D893" s="16" t="n"/>
      <c r="G893" s="17" t="n"/>
    </row>
    <row r="894">
      <c r="A894" s="15" t="n"/>
      <c r="C894" s="16" t="n"/>
      <c r="D894" s="16" t="n"/>
      <c r="G894" s="17" t="n"/>
    </row>
    <row r="895">
      <c r="A895" s="15" t="n"/>
      <c r="C895" s="16" t="n"/>
      <c r="D895" s="16" t="n"/>
      <c r="G895" s="17" t="n"/>
    </row>
    <row r="896">
      <c r="A896" s="15" t="n"/>
      <c r="C896" s="16" t="n"/>
      <c r="D896" s="16" t="n"/>
      <c r="G896" s="17" t="n"/>
    </row>
    <row r="897">
      <c r="A897" s="15" t="n"/>
      <c r="C897" s="16" t="n"/>
      <c r="D897" s="16" t="n"/>
      <c r="G897" s="17" t="n"/>
    </row>
    <row r="898">
      <c r="A898" s="15" t="n"/>
      <c r="C898" s="16" t="n"/>
      <c r="D898" s="16" t="n"/>
      <c r="G898" s="17" t="n"/>
    </row>
    <row r="899">
      <c r="A899" s="15" t="n"/>
      <c r="C899" s="16" t="n"/>
      <c r="D899" s="16" t="n"/>
      <c r="G899" s="17" t="n"/>
    </row>
    <row r="900">
      <c r="A900" s="15" t="n"/>
      <c r="C900" s="16" t="n"/>
      <c r="D900" s="16" t="n"/>
      <c r="G900" s="17" t="n"/>
    </row>
    <row r="901">
      <c r="A901" s="15" t="n"/>
      <c r="C901" s="16" t="n"/>
      <c r="D901" s="16" t="n"/>
      <c r="G901" s="17" t="n"/>
    </row>
    <row r="902">
      <c r="A902" s="15" t="n"/>
      <c r="C902" s="16" t="n"/>
      <c r="D902" s="16" t="n"/>
      <c r="G902" s="17" t="n"/>
    </row>
    <row r="903">
      <c r="A903" s="15" t="n"/>
      <c r="C903" s="16" t="n"/>
      <c r="D903" s="16" t="n"/>
      <c r="G903" s="17" t="n"/>
    </row>
    <row r="904">
      <c r="A904" s="15" t="n"/>
      <c r="C904" s="16" t="n"/>
      <c r="D904" s="16" t="n"/>
      <c r="G904" s="17" t="n"/>
    </row>
    <row r="905">
      <c r="A905" s="15" t="n"/>
      <c r="C905" s="16" t="n"/>
      <c r="D905" s="16" t="n"/>
      <c r="G905" s="17" t="n"/>
    </row>
    <row r="906">
      <c r="A906" s="15" t="n"/>
      <c r="C906" s="16" t="n"/>
      <c r="D906" s="16" t="n"/>
      <c r="G906" s="17" t="n"/>
    </row>
    <row r="907">
      <c r="A907" s="15" t="n"/>
      <c r="C907" s="16" t="n"/>
      <c r="D907" s="16" t="n"/>
      <c r="G907" s="17" t="n"/>
    </row>
    <row r="908">
      <c r="A908" s="15" t="n"/>
      <c r="C908" s="16" t="n"/>
      <c r="D908" s="16" t="n"/>
      <c r="G908" s="17" t="n"/>
    </row>
    <row r="909">
      <c r="A909" s="15" t="n"/>
      <c r="C909" s="16" t="n"/>
      <c r="D909" s="16" t="n"/>
      <c r="G909" s="17" t="n"/>
    </row>
    <row r="910">
      <c r="A910" s="15" t="n"/>
      <c r="C910" s="16" t="n"/>
      <c r="D910" s="16" t="n"/>
      <c r="G910" s="17" t="n"/>
    </row>
    <row r="911">
      <c r="A911" s="15" t="n"/>
      <c r="C911" s="16" t="n"/>
      <c r="D911" s="16" t="n"/>
      <c r="G911" s="17" t="n"/>
    </row>
    <row r="912">
      <c r="A912" s="15" t="n"/>
      <c r="C912" s="16" t="n"/>
      <c r="D912" s="16" t="n"/>
      <c r="G912" s="17" t="n"/>
    </row>
    <row r="913">
      <c r="A913" s="15" t="n"/>
      <c r="C913" s="16" t="n"/>
      <c r="D913" s="16" t="n"/>
      <c r="G913" s="17" t="n"/>
    </row>
    <row r="914">
      <c r="A914" s="15" t="n"/>
      <c r="C914" s="16" t="n"/>
      <c r="D914" s="16" t="n"/>
      <c r="G914" s="17" t="n"/>
    </row>
    <row r="915">
      <c r="A915" s="15" t="n"/>
      <c r="C915" s="16" t="n"/>
      <c r="D915" s="16" t="n"/>
      <c r="G915" s="17" t="n"/>
    </row>
    <row r="916">
      <c r="A916" s="15" t="n"/>
      <c r="C916" s="16" t="n"/>
      <c r="D916" s="16" t="n"/>
      <c r="G916" s="17" t="n"/>
    </row>
    <row r="917">
      <c r="A917" s="15" t="n"/>
      <c r="C917" s="16" t="n"/>
      <c r="D917" s="16" t="n"/>
      <c r="G917" s="17" t="n"/>
    </row>
    <row r="918">
      <c r="A918" s="15" t="n"/>
      <c r="C918" s="16" t="n"/>
      <c r="D918" s="16" t="n"/>
      <c r="G918" s="17" t="n"/>
    </row>
    <row r="919">
      <c r="A919" s="15" t="n"/>
      <c r="C919" s="16" t="n"/>
      <c r="D919" s="16" t="n"/>
      <c r="G919" s="17" t="n"/>
    </row>
    <row r="920">
      <c r="A920" s="15" t="n"/>
      <c r="C920" s="16" t="n"/>
      <c r="D920" s="16" t="n"/>
      <c r="G920" s="17" t="n"/>
    </row>
    <row r="921">
      <c r="A921" s="15" t="n"/>
      <c r="C921" s="16" t="n"/>
      <c r="D921" s="16" t="n"/>
      <c r="G921" s="17" t="n"/>
    </row>
    <row r="922">
      <c r="A922" s="15" t="n"/>
      <c r="C922" s="16" t="n"/>
      <c r="D922" s="16" t="n"/>
      <c r="G922" s="17" t="n"/>
    </row>
    <row r="923">
      <c r="A923" s="15" t="n"/>
      <c r="C923" s="16" t="n"/>
      <c r="D923" s="16" t="n"/>
      <c r="G923" s="17" t="n"/>
    </row>
    <row r="924">
      <c r="A924" s="15" t="n"/>
      <c r="C924" s="16" t="n"/>
      <c r="D924" s="16" t="n"/>
      <c r="G924" s="17" t="n"/>
    </row>
    <row r="925">
      <c r="A925" s="15" t="n"/>
      <c r="C925" s="16" t="n"/>
      <c r="D925" s="16" t="n"/>
      <c r="G925" s="17" t="n"/>
    </row>
    <row r="926">
      <c r="A926" s="15" t="n"/>
      <c r="C926" s="16" t="n"/>
      <c r="D926" s="16" t="n"/>
      <c r="G926" s="17" t="n"/>
    </row>
    <row r="927">
      <c r="A927" s="15" t="n"/>
      <c r="C927" s="16" t="n"/>
      <c r="D927" s="16" t="n"/>
      <c r="G927" s="17" t="n"/>
    </row>
    <row r="928">
      <c r="A928" s="15" t="n"/>
      <c r="C928" s="16" t="n"/>
      <c r="D928" s="16" t="n"/>
      <c r="G928" s="17" t="n"/>
    </row>
    <row r="929">
      <c r="A929" s="15" t="n"/>
      <c r="C929" s="16" t="n"/>
      <c r="D929" s="16" t="n"/>
      <c r="G929" s="17" t="n"/>
    </row>
    <row r="930">
      <c r="A930" s="15" t="n"/>
      <c r="C930" s="16" t="n"/>
      <c r="D930" s="16" t="n"/>
      <c r="G930" s="17" t="n"/>
    </row>
    <row r="931">
      <c r="A931" s="15" t="n"/>
      <c r="C931" s="16" t="n"/>
      <c r="D931" s="16" t="n"/>
      <c r="G931" s="17" t="n"/>
    </row>
    <row r="932">
      <c r="A932" s="15" t="n"/>
      <c r="C932" s="16" t="n"/>
      <c r="D932" s="16" t="n"/>
      <c r="G932" s="17" t="n"/>
    </row>
    <row r="933">
      <c r="A933" s="15" t="n"/>
      <c r="C933" s="16" t="n"/>
      <c r="D933" s="16" t="n"/>
      <c r="G933" s="17" t="n"/>
    </row>
    <row r="934">
      <c r="A934" s="15" t="n"/>
      <c r="C934" s="16" t="n"/>
      <c r="D934" s="16" t="n"/>
      <c r="G934" s="17" t="n"/>
    </row>
    <row r="935">
      <c r="A935" s="15" t="n"/>
      <c r="C935" s="16" t="n"/>
      <c r="D935" s="16" t="n"/>
      <c r="G935" s="17" t="n"/>
    </row>
    <row r="936">
      <c r="A936" s="15" t="n"/>
      <c r="C936" s="16" t="n"/>
      <c r="D936" s="16" t="n"/>
      <c r="G936" s="17" t="n"/>
    </row>
    <row r="937">
      <c r="A937" s="15" t="n"/>
      <c r="C937" s="16" t="n"/>
      <c r="D937" s="16" t="n"/>
      <c r="G937" s="17" t="n"/>
    </row>
    <row r="938">
      <c r="A938" s="15" t="n"/>
      <c r="C938" s="16" t="n"/>
      <c r="D938" s="16" t="n"/>
      <c r="G938" s="17" t="n"/>
    </row>
    <row r="939">
      <c r="A939" s="15" t="n"/>
      <c r="C939" s="16" t="n"/>
      <c r="D939" s="16" t="n"/>
      <c r="G939" s="17" t="n"/>
    </row>
    <row r="940">
      <c r="A940" s="15" t="n"/>
      <c r="C940" s="16" t="n"/>
      <c r="D940" s="16" t="n"/>
      <c r="G940" s="17" t="n"/>
    </row>
    <row r="941">
      <c r="A941" s="15" t="n"/>
      <c r="C941" s="16" t="n"/>
      <c r="D941" s="16" t="n"/>
      <c r="G941" s="17" t="n"/>
    </row>
    <row r="942">
      <c r="A942" s="15" t="n"/>
      <c r="C942" s="16" t="n"/>
      <c r="D942" s="16" t="n"/>
      <c r="G942" s="17" t="n"/>
    </row>
    <row r="943">
      <c r="A943" s="15" t="n"/>
      <c r="C943" s="16" t="n"/>
      <c r="D943" s="16" t="n"/>
      <c r="G943" s="17" t="n"/>
    </row>
    <row r="944">
      <c r="A944" s="15" t="n"/>
      <c r="C944" s="16" t="n"/>
      <c r="D944" s="16" t="n"/>
      <c r="G944" s="17" t="n"/>
    </row>
    <row r="945">
      <c r="A945" s="15" t="n"/>
      <c r="C945" s="16" t="n"/>
      <c r="D945" s="16" t="n"/>
      <c r="G945" s="17" t="n"/>
    </row>
    <row r="946">
      <c r="A946" s="15" t="n"/>
      <c r="C946" s="16" t="n"/>
      <c r="D946" s="16" t="n"/>
      <c r="G946" s="17" t="n"/>
    </row>
    <row r="947">
      <c r="A947" s="15" t="n"/>
      <c r="C947" s="16" t="n"/>
      <c r="D947" s="16" t="n"/>
      <c r="G947" s="17" t="n"/>
    </row>
    <row r="948">
      <c r="A948" s="15" t="n"/>
      <c r="C948" s="16" t="n"/>
      <c r="D948" s="16" t="n"/>
      <c r="G948" s="17" t="n"/>
    </row>
    <row r="949">
      <c r="A949" s="15" t="n"/>
      <c r="C949" s="16" t="n"/>
      <c r="D949" s="16" t="n"/>
      <c r="G949" s="17" t="n"/>
    </row>
    <row r="950">
      <c r="A950" s="15" t="n"/>
      <c r="C950" s="16" t="n"/>
      <c r="D950" s="16" t="n"/>
      <c r="G950" s="17" t="n"/>
    </row>
    <row r="951">
      <c r="A951" s="15" t="n"/>
      <c r="C951" s="16" t="n"/>
      <c r="D951" s="16" t="n"/>
      <c r="G951" s="17" t="n"/>
    </row>
    <row r="952">
      <c r="A952" s="15" t="n"/>
      <c r="C952" s="16" t="n"/>
      <c r="D952" s="16" t="n"/>
      <c r="G952" s="17" t="n"/>
    </row>
    <row r="953">
      <c r="A953" s="15" t="n"/>
      <c r="C953" s="16" t="n"/>
      <c r="D953" s="16" t="n"/>
      <c r="G953" s="17" t="n"/>
    </row>
    <row r="954">
      <c r="A954" s="15" t="n"/>
      <c r="C954" s="16" t="n"/>
      <c r="D954" s="16" t="n"/>
      <c r="G954" s="17" t="n"/>
    </row>
    <row r="955">
      <c r="A955" s="15" t="n"/>
      <c r="C955" s="16" t="n"/>
      <c r="D955" s="16" t="n"/>
      <c r="G955" s="17" t="n"/>
    </row>
    <row r="956">
      <c r="A956" s="15" t="n"/>
      <c r="C956" s="16" t="n"/>
      <c r="D956" s="16" t="n"/>
      <c r="G956" s="17" t="n"/>
    </row>
    <row r="957">
      <c r="A957" s="15" t="n"/>
      <c r="C957" s="16" t="n"/>
      <c r="D957" s="16" t="n"/>
      <c r="G957" s="17" t="n"/>
    </row>
    <row r="958">
      <c r="A958" s="15" t="n"/>
      <c r="C958" s="16" t="n"/>
      <c r="D958" s="16" t="n"/>
      <c r="G958" s="17" t="n"/>
    </row>
    <row r="959">
      <c r="A959" s="15" t="n"/>
      <c r="C959" s="16" t="n"/>
      <c r="D959" s="16" t="n"/>
      <c r="G959" s="17" t="n"/>
    </row>
    <row r="960">
      <c r="A960" s="15" t="n"/>
      <c r="C960" s="16" t="n"/>
      <c r="D960" s="16" t="n"/>
      <c r="G960" s="17" t="n"/>
    </row>
    <row r="961">
      <c r="A961" s="15" t="n"/>
      <c r="C961" s="16" t="n"/>
      <c r="D961" s="16" t="n"/>
      <c r="G961" s="17" t="n"/>
    </row>
    <row r="962">
      <c r="A962" s="15" t="n"/>
      <c r="C962" s="16" t="n"/>
      <c r="D962" s="16" t="n"/>
      <c r="G962" s="17" t="n"/>
    </row>
    <row r="963">
      <c r="A963" s="15" t="n"/>
      <c r="C963" s="16" t="n"/>
      <c r="D963" s="16" t="n"/>
      <c r="G963" s="17" t="n"/>
    </row>
    <row r="964">
      <c r="A964" s="15" t="n"/>
      <c r="C964" s="16" t="n"/>
      <c r="D964" s="16" t="n"/>
      <c r="G964" s="17" t="n"/>
    </row>
    <row r="965">
      <c r="A965" s="15" t="n"/>
      <c r="C965" s="16" t="n"/>
      <c r="D965" s="16" t="n"/>
      <c r="G965" s="17" t="n"/>
    </row>
    <row r="966">
      <c r="A966" s="15" t="n"/>
      <c r="C966" s="16" t="n"/>
      <c r="D966" s="16" t="n"/>
      <c r="G966" s="17" t="n"/>
    </row>
    <row r="967">
      <c r="A967" s="15" t="n"/>
      <c r="C967" s="16" t="n"/>
      <c r="D967" s="16" t="n"/>
      <c r="G967" s="17" t="n"/>
    </row>
    <row r="968">
      <c r="A968" s="15" t="n"/>
      <c r="C968" s="16" t="n"/>
      <c r="D968" s="16" t="n"/>
      <c r="G968" s="17" t="n"/>
    </row>
    <row r="969">
      <c r="A969" s="15" t="n"/>
      <c r="C969" s="16" t="n"/>
      <c r="D969" s="16" t="n"/>
      <c r="G969" s="17" t="n"/>
    </row>
    <row r="970">
      <c r="A970" s="15" t="n"/>
      <c r="C970" s="16" t="n"/>
      <c r="D970" s="16" t="n"/>
      <c r="G970" s="17" t="n"/>
    </row>
    <row r="971">
      <c r="A971" s="15" t="n"/>
      <c r="C971" s="16" t="n"/>
      <c r="D971" s="16" t="n"/>
      <c r="G971" s="17" t="n"/>
    </row>
    <row r="972">
      <c r="A972" s="15" t="n"/>
      <c r="C972" s="16" t="n"/>
      <c r="D972" s="16" t="n"/>
      <c r="G972" s="17" t="n"/>
    </row>
    <row r="973">
      <c r="A973" s="15" t="n"/>
      <c r="C973" s="16" t="n"/>
      <c r="D973" s="16" t="n"/>
      <c r="G973" s="17" t="n"/>
    </row>
    <row r="974">
      <c r="A974" s="15" t="n"/>
      <c r="C974" s="16" t="n"/>
      <c r="D974" s="16" t="n"/>
      <c r="G974" s="17" t="n"/>
    </row>
    <row r="975">
      <c r="A975" s="15" t="n"/>
      <c r="C975" s="16" t="n"/>
      <c r="D975" s="16" t="n"/>
      <c r="G975" s="17" t="n"/>
    </row>
    <row r="976">
      <c r="A976" s="15" t="n"/>
      <c r="C976" s="16" t="n"/>
      <c r="D976" s="16" t="n"/>
      <c r="G976" s="17" t="n"/>
    </row>
    <row r="977">
      <c r="A977" s="15" t="n"/>
      <c r="C977" s="16" t="n"/>
      <c r="D977" s="16" t="n"/>
      <c r="G977" s="17" t="n"/>
    </row>
    <row r="978">
      <c r="A978" s="15" t="n"/>
      <c r="C978" s="16" t="n"/>
      <c r="D978" s="16" t="n"/>
      <c r="G978" s="17" t="n"/>
    </row>
    <row r="979">
      <c r="A979" s="15" t="n"/>
      <c r="C979" s="16" t="n"/>
      <c r="D979" s="16" t="n"/>
      <c r="G979" s="17" t="n"/>
    </row>
    <row r="980">
      <c r="A980" s="15" t="n"/>
      <c r="C980" s="16" t="n"/>
      <c r="D980" s="16" t="n"/>
      <c r="G980" s="17" t="n"/>
    </row>
    <row r="981">
      <c r="A981" s="15" t="n"/>
      <c r="C981" s="16" t="n"/>
      <c r="D981" s="16" t="n"/>
      <c r="G981" s="17" t="n"/>
    </row>
    <row r="982">
      <c r="A982" s="15" t="n"/>
      <c r="C982" s="16" t="n"/>
      <c r="D982" s="16" t="n"/>
      <c r="G982" s="17" t="n"/>
    </row>
    <row r="983">
      <c r="A983" s="15" t="n"/>
      <c r="C983" s="16" t="n"/>
      <c r="D983" s="16" t="n"/>
      <c r="G983" s="17" t="n"/>
    </row>
    <row r="984">
      <c r="A984" s="15" t="n"/>
      <c r="C984" s="16" t="n"/>
      <c r="D984" s="16" t="n"/>
      <c r="G984" s="17" t="n"/>
    </row>
    <row r="985">
      <c r="A985" s="15" t="n"/>
      <c r="C985" s="16" t="n"/>
      <c r="D985" s="16" t="n"/>
      <c r="G985" s="17" t="n"/>
    </row>
    <row r="986">
      <c r="A986" s="15" t="n"/>
      <c r="C986" s="16" t="n"/>
      <c r="D986" s="16" t="n"/>
      <c r="G986" s="17" t="n"/>
    </row>
    <row r="987">
      <c r="A987" s="15" t="n"/>
      <c r="C987" s="16" t="n"/>
      <c r="D987" s="16" t="n"/>
      <c r="G987" s="17" t="n"/>
    </row>
    <row r="988">
      <c r="A988" s="15" t="n"/>
      <c r="C988" s="16" t="n"/>
      <c r="D988" s="16" t="n"/>
      <c r="G988" s="17" t="n"/>
    </row>
    <row r="989">
      <c r="A989" s="15" t="n"/>
      <c r="C989" s="16" t="n"/>
      <c r="D989" s="16" t="n"/>
      <c r="G989" s="17" t="n"/>
    </row>
    <row r="990">
      <c r="A990" s="15" t="n"/>
      <c r="C990" s="16" t="n"/>
      <c r="D990" s="16" t="n"/>
      <c r="G990" s="17" t="n"/>
    </row>
    <row r="991">
      <c r="A991" s="15" t="n"/>
      <c r="C991" s="16" t="n"/>
      <c r="D991" s="16" t="n"/>
      <c r="G991" s="17" t="n"/>
    </row>
    <row r="992">
      <c r="A992" s="15" t="n"/>
      <c r="C992" s="16" t="n"/>
      <c r="D992" s="16" t="n"/>
      <c r="G992" s="17" t="n"/>
    </row>
    <row r="993">
      <c r="A993" s="15" t="n"/>
      <c r="C993" s="16" t="n"/>
      <c r="D993" s="16" t="n"/>
      <c r="G993" s="17" t="n"/>
    </row>
    <row r="994">
      <c r="A994" s="15" t="n"/>
      <c r="C994" s="16" t="n"/>
      <c r="D994" s="16" t="n"/>
      <c r="G994" s="17" t="n"/>
    </row>
    <row r="995">
      <c r="A995" s="15" t="n"/>
      <c r="C995" s="16" t="n"/>
      <c r="D995" s="16" t="n"/>
      <c r="G995" s="17" t="n"/>
    </row>
    <row r="996">
      <c r="A996" s="15" t="n"/>
      <c r="C996" s="16" t="n"/>
      <c r="D996" s="16" t="n"/>
      <c r="G996" s="17" t="n"/>
    </row>
    <row r="997">
      <c r="A997" s="15" t="n"/>
      <c r="C997" s="16" t="n"/>
      <c r="D997" s="16" t="n"/>
      <c r="G997" s="17" t="n"/>
    </row>
    <row r="998">
      <c r="A998" s="15" t="n"/>
      <c r="C998" s="16" t="n"/>
      <c r="D998" s="16" t="n"/>
      <c r="G998" s="17" t="n"/>
    </row>
    <row r="999">
      <c r="A999" s="15" t="n"/>
      <c r="C999" s="16" t="n"/>
      <c r="D999" s="16" t="n"/>
      <c r="G999" s="17" t="n"/>
    </row>
    <row r="1000">
      <c r="A1000" s="15" t="n"/>
      <c r="C1000" s="16" t="n"/>
      <c r="D1000" s="16" t="n"/>
      <c r="G1000" s="17" t="n"/>
    </row>
    <row r="1001">
      <c r="A1001" s="15" t="n"/>
      <c r="C1001" s="16" t="n"/>
      <c r="D1001" s="16" t="n"/>
      <c r="G1001" s="17" t="n"/>
    </row>
    <row r="1002">
      <c r="A1002" s="15" t="n"/>
      <c r="C1002" s="16" t="n"/>
      <c r="D1002" s="16" t="n"/>
      <c r="G1002" s="17" t="n"/>
    </row>
  </sheetData>
  <conditionalFormatting sqref="G3:G1002">
    <cfRule type="expression" priority="1" dxfId="0">
      <formula>=$G3="Active"</formula>
    </cfRule>
    <cfRule type="expression" priority="2" dxfId="1">
      <formula>=$G3="Upcoming"</formula>
    </cfRule>
    <cfRule type="expression" priority="3" dxfId="2">
      <formula>=$G3="Completed"</formula>
    </cfRule>
    <cfRule type="expression" priority="4" dxfId="3">
      <formula>=$G3="Undated"</formula>
    </cfRule>
  </conditionalFormatting>
  <dataValidations count="2">
    <dataValidation sqref="D1" showDropDown="0" showInputMessage="0" showErrorMessage="0" allowBlank="1" promptTitle="Filter" prompt="Leave blank for all" type="list">
      <formula1>Calc!$E$2:$E$200</formula1>
    </dataValidation>
    <dataValidation sqref="F1" showDropDown="0" showInputMessage="0" showErrorMessage="0" allowBlank="1" promptTitle="Filter" prompt="Leave blank for all" type="list">
      <formula1>Calc!$F$2:$F$200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912F"/>
    <outlinePr summaryBelow="1" summaryRight="1"/>
    <pageSetUpPr/>
  </sheetPr>
  <dimension ref="A1:M100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Project</t>
        </is>
      </c>
      <c r="B1" s="1" t="inlineStr">
        <is>
          <t>Department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Status</t>
        </is>
      </c>
      <c r="F1" s="18">
        <f>TEXT(F2,"yy")&amp;" Q"&amp;ROUNDUP(MONTH(F2)/3,0)</f>
        <v/>
      </c>
      <c r="G1" s="18">
        <f>TEXT(G2,"yy")&amp;" Q"&amp;ROUNDUP(MONTH(G2)/3,0)</f>
        <v/>
      </c>
      <c r="H1" s="18">
        <f>TEXT(H2,"yy")&amp;" Q"&amp;ROUNDUP(MONTH(H2)/3,0)</f>
        <v/>
      </c>
      <c r="I1" s="18">
        <f>TEXT(I2,"yy")&amp;" Q"&amp;ROUNDUP(MONTH(I2)/3,0)</f>
        <v/>
      </c>
      <c r="J1" s="18">
        <f>TEXT(J2,"yy")&amp;" Q"&amp;ROUNDUP(MONTH(J2)/3,0)</f>
        <v/>
      </c>
      <c r="K1" s="18">
        <f>TEXT(K2,"yy")&amp;" Q"&amp;ROUNDUP(MONTH(K2)/3,0)</f>
        <v/>
      </c>
      <c r="L1" s="18">
        <f>TEXT(L2,"yy")&amp;" Q"&amp;ROUNDUP(MONTH(L2)/3,0)</f>
        <v/>
      </c>
      <c r="M1" s="18">
        <f>TEXT(M2,"yy")&amp;" Q"&amp;ROUNDUP(MONTH(M2)/3,0)</f>
        <v/>
      </c>
    </row>
    <row r="2" hidden="1">
      <c r="F2">
        <f>IF(COUNT(Calc!$A$2:$A$1000)=0,DATE(YEAR(TODAY()),1,1),DATE(YEAR(MIN(Calc!$A$2:$A$1000)),INT((MONTH(MIN(Calc!$A$2:$A$1000))-1)/3)*3+1,1))</f>
        <v/>
      </c>
      <c r="G2">
        <f>EDATE(F2,3)</f>
        <v/>
      </c>
      <c r="H2">
        <f>EDATE(G2,3)</f>
        <v/>
      </c>
      <c r="I2">
        <f>EDATE(H2,3)</f>
        <v/>
      </c>
      <c r="J2">
        <f>EDATE(I2,3)</f>
        <v/>
      </c>
      <c r="K2">
        <f>EDATE(J2,3)</f>
        <v/>
      </c>
      <c r="L2">
        <f>EDATE(K2,3)</f>
        <v/>
      </c>
      <c r="M2">
        <f>EDATE(L2,3)</f>
        <v/>
      </c>
    </row>
    <row r="3">
      <c r="A3" s="15">
        <f>IFERROR(SORT(FILTER(CHOOSE({1,2,3,4,5},Data!$A$2:$A$1000,Data!$F$2:$F$1000,Calc!$A$2:$A$1000,Calc!$B$2:$B$1000,Calc!$C$2:$C$1000),Data!$A$2:$A$1000&lt;&gt;""),3,1),"")</f>
        <v/>
      </c>
      <c r="C3" s="16" t="n"/>
      <c r="D3" s="16" t="n"/>
      <c r="E3" s="17" t="n"/>
    </row>
    <row r="4">
      <c r="A4" s="15" t="n"/>
      <c r="C4" s="16" t="n"/>
      <c r="D4" s="16" t="n"/>
      <c r="E4" s="17" t="n"/>
    </row>
    <row r="5">
      <c r="A5" s="15" t="n"/>
      <c r="C5" s="16" t="n"/>
      <c r="D5" s="16" t="n"/>
      <c r="E5" s="17" t="n"/>
    </row>
    <row r="6">
      <c r="A6" s="15" t="n"/>
      <c r="C6" s="16" t="n"/>
      <c r="D6" s="16" t="n"/>
      <c r="E6" s="17" t="n"/>
    </row>
    <row r="7">
      <c r="A7" s="15" t="n"/>
      <c r="C7" s="16" t="n"/>
      <c r="D7" s="16" t="n"/>
      <c r="E7" s="17" t="n"/>
    </row>
    <row r="8">
      <c r="A8" s="15" t="n"/>
      <c r="C8" s="16" t="n"/>
      <c r="D8" s="16" t="n"/>
      <c r="E8" s="17" t="n"/>
    </row>
    <row r="9">
      <c r="A9" s="15" t="n"/>
      <c r="C9" s="16" t="n"/>
      <c r="D9" s="16" t="n"/>
      <c r="E9" s="17" t="n"/>
    </row>
    <row r="10">
      <c r="A10" s="15" t="n"/>
      <c r="C10" s="16" t="n"/>
      <c r="D10" s="16" t="n"/>
      <c r="E10" s="17" t="n"/>
    </row>
    <row r="11">
      <c r="A11" s="15" t="n"/>
      <c r="C11" s="16" t="n"/>
      <c r="D11" s="16" t="n"/>
      <c r="E11" s="17" t="n"/>
    </row>
    <row r="12">
      <c r="A12" s="15" t="n"/>
      <c r="C12" s="16" t="n"/>
      <c r="D12" s="16" t="n"/>
      <c r="E12" s="17" t="n"/>
    </row>
    <row r="13">
      <c r="A13" s="15" t="n"/>
      <c r="C13" s="16" t="n"/>
      <c r="D13" s="16" t="n"/>
      <c r="E13" s="17" t="n"/>
    </row>
    <row r="14">
      <c r="A14" s="15" t="n"/>
      <c r="C14" s="16" t="n"/>
      <c r="D14" s="16" t="n"/>
      <c r="E14" s="17" t="n"/>
    </row>
    <row r="15">
      <c r="A15" s="15" t="n"/>
      <c r="C15" s="16" t="n"/>
      <c r="D15" s="16" t="n"/>
      <c r="E15" s="17" t="n"/>
    </row>
    <row r="16">
      <c r="A16" s="15" t="n"/>
      <c r="C16" s="16" t="n"/>
      <c r="D16" s="16" t="n"/>
      <c r="E16" s="17" t="n"/>
    </row>
    <row r="17">
      <c r="A17" s="15" t="n"/>
      <c r="C17" s="16" t="n"/>
      <c r="D17" s="16" t="n"/>
      <c r="E17" s="17" t="n"/>
    </row>
    <row r="18">
      <c r="A18" s="15" t="n"/>
      <c r="C18" s="16" t="n"/>
      <c r="D18" s="16" t="n"/>
      <c r="E18" s="17" t="n"/>
    </row>
    <row r="19">
      <c r="A19" s="15" t="n"/>
      <c r="C19" s="16" t="n"/>
      <c r="D19" s="16" t="n"/>
      <c r="E19" s="17" t="n"/>
    </row>
    <row r="20">
      <c r="A20" s="15" t="n"/>
      <c r="C20" s="16" t="n"/>
      <c r="D20" s="16" t="n"/>
      <c r="E20" s="17" t="n"/>
    </row>
    <row r="21">
      <c r="A21" s="15" t="n"/>
      <c r="C21" s="16" t="n"/>
      <c r="D21" s="16" t="n"/>
      <c r="E21" s="17" t="n"/>
    </row>
    <row r="22">
      <c r="A22" s="15" t="n"/>
      <c r="C22" s="16" t="n"/>
      <c r="D22" s="16" t="n"/>
      <c r="E22" s="17" t="n"/>
    </row>
    <row r="23">
      <c r="A23" s="15" t="n"/>
      <c r="C23" s="16" t="n"/>
      <c r="D23" s="16" t="n"/>
      <c r="E23" s="17" t="n"/>
    </row>
    <row r="24">
      <c r="A24" s="15" t="n"/>
      <c r="C24" s="16" t="n"/>
      <c r="D24" s="16" t="n"/>
      <c r="E24" s="17" t="n"/>
    </row>
    <row r="25">
      <c r="A25" s="15" t="n"/>
      <c r="C25" s="16" t="n"/>
      <c r="D25" s="16" t="n"/>
      <c r="E25" s="17" t="n"/>
    </row>
    <row r="26">
      <c r="A26" s="15" t="n"/>
      <c r="C26" s="16" t="n"/>
      <c r="D26" s="16" t="n"/>
      <c r="E26" s="17" t="n"/>
    </row>
    <row r="27">
      <c r="A27" s="15" t="n"/>
      <c r="C27" s="16" t="n"/>
      <c r="D27" s="16" t="n"/>
      <c r="E27" s="17" t="n"/>
    </row>
    <row r="28">
      <c r="A28" s="15" t="n"/>
      <c r="C28" s="16" t="n"/>
      <c r="D28" s="16" t="n"/>
      <c r="E28" s="17" t="n"/>
    </row>
    <row r="29">
      <c r="A29" s="15" t="n"/>
      <c r="C29" s="16" t="n"/>
      <c r="D29" s="16" t="n"/>
      <c r="E29" s="17" t="n"/>
    </row>
    <row r="30">
      <c r="A30" s="15" t="n"/>
      <c r="C30" s="16" t="n"/>
      <c r="D30" s="16" t="n"/>
      <c r="E30" s="17" t="n"/>
    </row>
    <row r="31">
      <c r="A31" s="15" t="n"/>
      <c r="C31" s="16" t="n"/>
      <c r="D31" s="16" t="n"/>
      <c r="E31" s="17" t="n"/>
    </row>
    <row r="32">
      <c r="A32" s="15" t="n"/>
      <c r="C32" s="16" t="n"/>
      <c r="D32" s="16" t="n"/>
      <c r="E32" s="17" t="n"/>
    </row>
    <row r="33">
      <c r="A33" s="15" t="n"/>
      <c r="C33" s="16" t="n"/>
      <c r="D33" s="16" t="n"/>
      <c r="E33" s="17" t="n"/>
    </row>
    <row r="34">
      <c r="A34" s="15" t="n"/>
      <c r="C34" s="16" t="n"/>
      <c r="D34" s="16" t="n"/>
      <c r="E34" s="17" t="n"/>
    </row>
    <row r="35">
      <c r="A35" s="15" t="n"/>
      <c r="C35" s="16" t="n"/>
      <c r="D35" s="16" t="n"/>
      <c r="E35" s="17" t="n"/>
    </row>
    <row r="36">
      <c r="A36" s="15" t="n"/>
      <c r="C36" s="16" t="n"/>
      <c r="D36" s="16" t="n"/>
      <c r="E36" s="17" t="n"/>
    </row>
    <row r="37">
      <c r="A37" s="15" t="n"/>
      <c r="C37" s="16" t="n"/>
      <c r="D37" s="16" t="n"/>
      <c r="E37" s="17" t="n"/>
    </row>
    <row r="38">
      <c r="A38" s="15" t="n"/>
      <c r="C38" s="16" t="n"/>
      <c r="D38" s="16" t="n"/>
      <c r="E38" s="17" t="n"/>
    </row>
    <row r="39">
      <c r="A39" s="15" t="n"/>
      <c r="C39" s="16" t="n"/>
      <c r="D39" s="16" t="n"/>
      <c r="E39" s="17" t="n"/>
    </row>
    <row r="40">
      <c r="A40" s="15" t="n"/>
      <c r="C40" s="16" t="n"/>
      <c r="D40" s="16" t="n"/>
      <c r="E40" s="17" t="n"/>
    </row>
    <row r="41">
      <c r="A41" s="15" t="n"/>
      <c r="C41" s="16" t="n"/>
      <c r="D41" s="16" t="n"/>
      <c r="E41" s="17" t="n"/>
    </row>
    <row r="42">
      <c r="A42" s="15" t="n"/>
      <c r="C42" s="16" t="n"/>
      <c r="D42" s="16" t="n"/>
      <c r="E42" s="17" t="n"/>
    </row>
    <row r="43">
      <c r="A43" s="15" t="n"/>
      <c r="C43" s="16" t="n"/>
      <c r="D43" s="16" t="n"/>
      <c r="E43" s="17" t="n"/>
    </row>
    <row r="44">
      <c r="A44" s="15" t="n"/>
      <c r="C44" s="16" t="n"/>
      <c r="D44" s="16" t="n"/>
      <c r="E44" s="17" t="n"/>
    </row>
    <row r="45">
      <c r="A45" s="15" t="n"/>
      <c r="C45" s="16" t="n"/>
      <c r="D45" s="16" t="n"/>
      <c r="E45" s="17" t="n"/>
    </row>
    <row r="46">
      <c r="A46" s="15" t="n"/>
      <c r="C46" s="16" t="n"/>
      <c r="D46" s="16" t="n"/>
      <c r="E46" s="17" t="n"/>
    </row>
    <row r="47">
      <c r="A47" s="15" t="n"/>
      <c r="C47" s="16" t="n"/>
      <c r="D47" s="16" t="n"/>
      <c r="E47" s="17" t="n"/>
    </row>
    <row r="48">
      <c r="A48" s="15" t="n"/>
      <c r="C48" s="16" t="n"/>
      <c r="D48" s="16" t="n"/>
      <c r="E48" s="17" t="n"/>
    </row>
    <row r="49">
      <c r="A49" s="15" t="n"/>
      <c r="C49" s="16" t="n"/>
      <c r="D49" s="16" t="n"/>
      <c r="E49" s="17" t="n"/>
    </row>
    <row r="50">
      <c r="A50" s="15" t="n"/>
      <c r="C50" s="16" t="n"/>
      <c r="D50" s="16" t="n"/>
      <c r="E50" s="17" t="n"/>
    </row>
    <row r="51">
      <c r="A51" s="15" t="n"/>
      <c r="C51" s="16" t="n"/>
      <c r="D51" s="16" t="n"/>
      <c r="E51" s="17" t="n"/>
    </row>
    <row r="52">
      <c r="A52" s="15" t="n"/>
      <c r="C52" s="16" t="n"/>
      <c r="D52" s="16" t="n"/>
      <c r="E52" s="17" t="n"/>
    </row>
    <row r="53">
      <c r="A53" s="15" t="n"/>
      <c r="C53" s="16" t="n"/>
      <c r="D53" s="16" t="n"/>
      <c r="E53" s="17" t="n"/>
    </row>
    <row r="54">
      <c r="A54" s="15" t="n"/>
      <c r="C54" s="16" t="n"/>
      <c r="D54" s="16" t="n"/>
      <c r="E54" s="17" t="n"/>
    </row>
    <row r="55">
      <c r="A55" s="15" t="n"/>
      <c r="C55" s="16" t="n"/>
      <c r="D55" s="16" t="n"/>
      <c r="E55" s="17" t="n"/>
    </row>
    <row r="56">
      <c r="A56" s="15" t="n"/>
      <c r="C56" s="16" t="n"/>
      <c r="D56" s="16" t="n"/>
      <c r="E56" s="17" t="n"/>
    </row>
    <row r="57">
      <c r="A57" s="15" t="n"/>
      <c r="C57" s="16" t="n"/>
      <c r="D57" s="16" t="n"/>
      <c r="E57" s="17" t="n"/>
    </row>
    <row r="58">
      <c r="A58" s="15" t="n"/>
      <c r="C58" s="16" t="n"/>
      <c r="D58" s="16" t="n"/>
      <c r="E58" s="17" t="n"/>
    </row>
    <row r="59">
      <c r="A59" s="15" t="n"/>
      <c r="C59" s="16" t="n"/>
      <c r="D59" s="16" t="n"/>
      <c r="E59" s="17" t="n"/>
    </row>
    <row r="60">
      <c r="A60" s="15" t="n"/>
      <c r="C60" s="16" t="n"/>
      <c r="D60" s="16" t="n"/>
      <c r="E60" s="17" t="n"/>
    </row>
    <row r="61">
      <c r="A61" s="15" t="n"/>
      <c r="C61" s="16" t="n"/>
      <c r="D61" s="16" t="n"/>
      <c r="E61" s="17" t="n"/>
    </row>
    <row r="62">
      <c r="A62" s="15" t="n"/>
      <c r="C62" s="16" t="n"/>
      <c r="D62" s="16" t="n"/>
      <c r="E62" s="17" t="n"/>
    </row>
    <row r="63">
      <c r="A63" s="15" t="n"/>
      <c r="C63" s="16" t="n"/>
      <c r="D63" s="16" t="n"/>
      <c r="E63" s="17" t="n"/>
    </row>
    <row r="64">
      <c r="A64" s="15" t="n"/>
      <c r="C64" s="16" t="n"/>
      <c r="D64" s="16" t="n"/>
      <c r="E64" s="17" t="n"/>
    </row>
    <row r="65">
      <c r="A65" s="15" t="n"/>
      <c r="C65" s="16" t="n"/>
      <c r="D65" s="16" t="n"/>
      <c r="E65" s="17" t="n"/>
    </row>
    <row r="66">
      <c r="A66" s="15" t="n"/>
      <c r="C66" s="16" t="n"/>
      <c r="D66" s="16" t="n"/>
      <c r="E66" s="17" t="n"/>
    </row>
    <row r="67">
      <c r="A67" s="15" t="n"/>
      <c r="C67" s="16" t="n"/>
      <c r="D67" s="16" t="n"/>
      <c r="E67" s="17" t="n"/>
    </row>
    <row r="68">
      <c r="A68" s="15" t="n"/>
      <c r="C68" s="16" t="n"/>
      <c r="D68" s="16" t="n"/>
      <c r="E68" s="17" t="n"/>
    </row>
    <row r="69">
      <c r="A69" s="15" t="n"/>
      <c r="C69" s="16" t="n"/>
      <c r="D69" s="16" t="n"/>
      <c r="E69" s="17" t="n"/>
    </row>
    <row r="70">
      <c r="A70" s="15" t="n"/>
      <c r="C70" s="16" t="n"/>
      <c r="D70" s="16" t="n"/>
      <c r="E70" s="17" t="n"/>
    </row>
    <row r="71">
      <c r="A71" s="15" t="n"/>
      <c r="C71" s="16" t="n"/>
      <c r="D71" s="16" t="n"/>
      <c r="E71" s="17" t="n"/>
    </row>
    <row r="72">
      <c r="A72" s="15" t="n"/>
      <c r="C72" s="16" t="n"/>
      <c r="D72" s="16" t="n"/>
      <c r="E72" s="17" t="n"/>
    </row>
    <row r="73">
      <c r="A73" s="15" t="n"/>
      <c r="C73" s="16" t="n"/>
      <c r="D73" s="16" t="n"/>
      <c r="E73" s="17" t="n"/>
    </row>
    <row r="74">
      <c r="A74" s="15" t="n"/>
      <c r="C74" s="16" t="n"/>
      <c r="D74" s="16" t="n"/>
      <c r="E74" s="17" t="n"/>
    </row>
    <row r="75">
      <c r="A75" s="15" t="n"/>
      <c r="C75" s="16" t="n"/>
      <c r="D75" s="16" t="n"/>
      <c r="E75" s="17" t="n"/>
    </row>
    <row r="76">
      <c r="A76" s="15" t="n"/>
      <c r="C76" s="16" t="n"/>
      <c r="D76" s="16" t="n"/>
      <c r="E76" s="17" t="n"/>
    </row>
    <row r="77">
      <c r="A77" s="15" t="n"/>
      <c r="C77" s="16" t="n"/>
      <c r="D77" s="16" t="n"/>
      <c r="E77" s="17" t="n"/>
    </row>
    <row r="78">
      <c r="A78" s="15" t="n"/>
      <c r="C78" s="16" t="n"/>
      <c r="D78" s="16" t="n"/>
      <c r="E78" s="17" t="n"/>
    </row>
    <row r="79">
      <c r="A79" s="15" t="n"/>
      <c r="C79" s="16" t="n"/>
      <c r="D79" s="16" t="n"/>
      <c r="E79" s="17" t="n"/>
    </row>
    <row r="80">
      <c r="A80" s="15" t="n"/>
      <c r="C80" s="16" t="n"/>
      <c r="D80" s="16" t="n"/>
      <c r="E80" s="17" t="n"/>
    </row>
    <row r="81">
      <c r="A81" s="15" t="n"/>
      <c r="C81" s="16" t="n"/>
      <c r="D81" s="16" t="n"/>
      <c r="E81" s="17" t="n"/>
    </row>
    <row r="82">
      <c r="A82" s="15" t="n"/>
      <c r="C82" s="16" t="n"/>
      <c r="D82" s="16" t="n"/>
      <c r="E82" s="17" t="n"/>
    </row>
    <row r="83">
      <c r="A83" s="15" t="n"/>
      <c r="C83" s="16" t="n"/>
      <c r="D83" s="16" t="n"/>
      <c r="E83" s="17" t="n"/>
    </row>
    <row r="84">
      <c r="A84" s="15" t="n"/>
      <c r="C84" s="16" t="n"/>
      <c r="D84" s="16" t="n"/>
      <c r="E84" s="17" t="n"/>
    </row>
    <row r="85">
      <c r="A85" s="15" t="n"/>
      <c r="C85" s="16" t="n"/>
      <c r="D85" s="16" t="n"/>
      <c r="E85" s="17" t="n"/>
    </row>
    <row r="86">
      <c r="A86" s="15" t="n"/>
      <c r="C86" s="16" t="n"/>
      <c r="D86" s="16" t="n"/>
      <c r="E86" s="17" t="n"/>
    </row>
    <row r="87">
      <c r="A87" s="15" t="n"/>
      <c r="C87" s="16" t="n"/>
      <c r="D87" s="16" t="n"/>
      <c r="E87" s="17" t="n"/>
    </row>
    <row r="88">
      <c r="A88" s="15" t="n"/>
      <c r="C88" s="16" t="n"/>
      <c r="D88" s="16" t="n"/>
      <c r="E88" s="17" t="n"/>
    </row>
    <row r="89">
      <c r="A89" s="15" t="n"/>
      <c r="C89" s="16" t="n"/>
      <c r="D89" s="16" t="n"/>
      <c r="E89" s="17" t="n"/>
    </row>
    <row r="90">
      <c r="A90" s="15" t="n"/>
      <c r="C90" s="16" t="n"/>
      <c r="D90" s="16" t="n"/>
      <c r="E90" s="17" t="n"/>
    </row>
    <row r="91">
      <c r="A91" s="15" t="n"/>
      <c r="C91" s="16" t="n"/>
      <c r="D91" s="16" t="n"/>
      <c r="E91" s="17" t="n"/>
    </row>
    <row r="92">
      <c r="A92" s="15" t="n"/>
      <c r="C92" s="16" t="n"/>
      <c r="D92" s="16" t="n"/>
      <c r="E92" s="17" t="n"/>
    </row>
    <row r="93">
      <c r="A93" s="15" t="n"/>
      <c r="C93" s="16" t="n"/>
      <c r="D93" s="16" t="n"/>
      <c r="E93" s="17" t="n"/>
    </row>
    <row r="94">
      <c r="A94" s="15" t="n"/>
      <c r="C94" s="16" t="n"/>
      <c r="D94" s="16" t="n"/>
      <c r="E94" s="17" t="n"/>
    </row>
    <row r="95">
      <c r="A95" s="15" t="n"/>
      <c r="C95" s="16" t="n"/>
      <c r="D95" s="16" t="n"/>
      <c r="E95" s="17" t="n"/>
    </row>
    <row r="96">
      <c r="A96" s="15" t="n"/>
      <c r="C96" s="16" t="n"/>
      <c r="D96" s="16" t="n"/>
      <c r="E96" s="17" t="n"/>
    </row>
    <row r="97">
      <c r="A97" s="15" t="n"/>
      <c r="C97" s="16" t="n"/>
      <c r="D97" s="16" t="n"/>
      <c r="E97" s="17" t="n"/>
    </row>
    <row r="98">
      <c r="A98" s="15" t="n"/>
      <c r="C98" s="16" t="n"/>
      <c r="D98" s="16" t="n"/>
      <c r="E98" s="17" t="n"/>
    </row>
    <row r="99">
      <c r="A99" s="15" t="n"/>
      <c r="C99" s="16" t="n"/>
      <c r="D99" s="16" t="n"/>
      <c r="E99" s="17" t="n"/>
    </row>
    <row r="100">
      <c r="A100" s="15" t="n"/>
      <c r="C100" s="16" t="n"/>
      <c r="D100" s="16" t="n"/>
      <c r="E100" s="17" t="n"/>
    </row>
    <row r="101">
      <c r="A101" s="15" t="n"/>
      <c r="C101" s="16" t="n"/>
      <c r="D101" s="16" t="n"/>
      <c r="E101" s="17" t="n"/>
    </row>
    <row r="102">
      <c r="A102" s="15" t="n"/>
      <c r="C102" s="16" t="n"/>
      <c r="D102" s="16" t="n"/>
      <c r="E102" s="17" t="n"/>
    </row>
    <row r="103">
      <c r="A103" s="15" t="n"/>
      <c r="C103" s="16" t="n"/>
      <c r="D103" s="16" t="n"/>
      <c r="E103" s="17" t="n"/>
    </row>
    <row r="104">
      <c r="A104" s="15" t="n"/>
      <c r="C104" s="16" t="n"/>
      <c r="D104" s="16" t="n"/>
      <c r="E104" s="17" t="n"/>
    </row>
    <row r="105">
      <c r="A105" s="15" t="n"/>
      <c r="C105" s="16" t="n"/>
      <c r="D105" s="16" t="n"/>
      <c r="E105" s="17" t="n"/>
    </row>
    <row r="106">
      <c r="A106" s="15" t="n"/>
      <c r="C106" s="16" t="n"/>
      <c r="D106" s="16" t="n"/>
      <c r="E106" s="17" t="n"/>
    </row>
    <row r="107">
      <c r="A107" s="15" t="n"/>
      <c r="C107" s="16" t="n"/>
      <c r="D107" s="16" t="n"/>
      <c r="E107" s="17" t="n"/>
    </row>
    <row r="108">
      <c r="A108" s="15" t="n"/>
      <c r="C108" s="16" t="n"/>
      <c r="D108" s="16" t="n"/>
      <c r="E108" s="17" t="n"/>
    </row>
    <row r="109">
      <c r="A109" s="15" t="n"/>
      <c r="C109" s="16" t="n"/>
      <c r="D109" s="16" t="n"/>
      <c r="E109" s="17" t="n"/>
    </row>
    <row r="110">
      <c r="A110" s="15" t="n"/>
      <c r="C110" s="16" t="n"/>
      <c r="D110" s="16" t="n"/>
      <c r="E110" s="17" t="n"/>
    </row>
    <row r="111">
      <c r="A111" s="15" t="n"/>
      <c r="C111" s="16" t="n"/>
      <c r="D111" s="16" t="n"/>
      <c r="E111" s="17" t="n"/>
    </row>
    <row r="112">
      <c r="A112" s="15" t="n"/>
      <c r="C112" s="16" t="n"/>
      <c r="D112" s="16" t="n"/>
      <c r="E112" s="17" t="n"/>
    </row>
    <row r="113">
      <c r="A113" s="15" t="n"/>
      <c r="C113" s="16" t="n"/>
      <c r="D113" s="16" t="n"/>
      <c r="E113" s="17" t="n"/>
    </row>
    <row r="114">
      <c r="A114" s="15" t="n"/>
      <c r="C114" s="16" t="n"/>
      <c r="D114" s="16" t="n"/>
      <c r="E114" s="17" t="n"/>
    </row>
    <row r="115">
      <c r="A115" s="15" t="n"/>
      <c r="C115" s="16" t="n"/>
      <c r="D115" s="16" t="n"/>
      <c r="E115" s="17" t="n"/>
    </row>
    <row r="116">
      <c r="A116" s="15" t="n"/>
      <c r="C116" s="16" t="n"/>
      <c r="D116" s="16" t="n"/>
      <c r="E116" s="17" t="n"/>
    </row>
    <row r="117">
      <c r="A117" s="15" t="n"/>
      <c r="C117" s="16" t="n"/>
      <c r="D117" s="16" t="n"/>
      <c r="E117" s="17" t="n"/>
    </row>
    <row r="118">
      <c r="A118" s="15" t="n"/>
      <c r="C118" s="16" t="n"/>
      <c r="D118" s="16" t="n"/>
      <c r="E118" s="17" t="n"/>
    </row>
    <row r="119">
      <c r="A119" s="15" t="n"/>
      <c r="C119" s="16" t="n"/>
      <c r="D119" s="16" t="n"/>
      <c r="E119" s="17" t="n"/>
    </row>
    <row r="120">
      <c r="A120" s="15" t="n"/>
      <c r="C120" s="16" t="n"/>
      <c r="D120" s="16" t="n"/>
      <c r="E120" s="17" t="n"/>
    </row>
    <row r="121">
      <c r="A121" s="15" t="n"/>
      <c r="C121" s="16" t="n"/>
      <c r="D121" s="16" t="n"/>
      <c r="E121" s="17" t="n"/>
    </row>
    <row r="122">
      <c r="A122" s="15" t="n"/>
      <c r="C122" s="16" t="n"/>
      <c r="D122" s="16" t="n"/>
      <c r="E122" s="17" t="n"/>
    </row>
    <row r="123">
      <c r="A123" s="15" t="n"/>
      <c r="C123" s="16" t="n"/>
      <c r="D123" s="16" t="n"/>
      <c r="E123" s="17" t="n"/>
    </row>
    <row r="124">
      <c r="A124" s="15" t="n"/>
      <c r="C124" s="16" t="n"/>
      <c r="D124" s="16" t="n"/>
      <c r="E124" s="17" t="n"/>
    </row>
    <row r="125">
      <c r="A125" s="15" t="n"/>
      <c r="C125" s="16" t="n"/>
      <c r="D125" s="16" t="n"/>
      <c r="E125" s="17" t="n"/>
    </row>
    <row r="126">
      <c r="A126" s="15" t="n"/>
      <c r="C126" s="16" t="n"/>
      <c r="D126" s="16" t="n"/>
      <c r="E126" s="17" t="n"/>
    </row>
    <row r="127">
      <c r="A127" s="15" t="n"/>
      <c r="C127" s="16" t="n"/>
      <c r="D127" s="16" t="n"/>
      <c r="E127" s="17" t="n"/>
    </row>
    <row r="128">
      <c r="A128" s="15" t="n"/>
      <c r="C128" s="16" t="n"/>
      <c r="D128" s="16" t="n"/>
      <c r="E128" s="17" t="n"/>
    </row>
    <row r="129">
      <c r="A129" s="15" t="n"/>
      <c r="C129" s="16" t="n"/>
      <c r="D129" s="16" t="n"/>
      <c r="E129" s="17" t="n"/>
    </row>
    <row r="130">
      <c r="A130" s="15" t="n"/>
      <c r="C130" s="16" t="n"/>
      <c r="D130" s="16" t="n"/>
      <c r="E130" s="17" t="n"/>
    </row>
    <row r="131">
      <c r="A131" s="15" t="n"/>
      <c r="C131" s="16" t="n"/>
      <c r="D131" s="16" t="n"/>
      <c r="E131" s="17" t="n"/>
    </row>
    <row r="132">
      <c r="A132" s="15" t="n"/>
      <c r="C132" s="16" t="n"/>
      <c r="D132" s="16" t="n"/>
      <c r="E132" s="17" t="n"/>
    </row>
    <row r="133">
      <c r="A133" s="15" t="n"/>
      <c r="C133" s="16" t="n"/>
      <c r="D133" s="16" t="n"/>
      <c r="E133" s="17" t="n"/>
    </row>
    <row r="134">
      <c r="A134" s="15" t="n"/>
      <c r="C134" s="16" t="n"/>
      <c r="D134" s="16" t="n"/>
      <c r="E134" s="17" t="n"/>
    </row>
    <row r="135">
      <c r="A135" s="15" t="n"/>
      <c r="C135" s="16" t="n"/>
      <c r="D135" s="16" t="n"/>
      <c r="E135" s="17" t="n"/>
    </row>
    <row r="136">
      <c r="A136" s="15" t="n"/>
      <c r="C136" s="16" t="n"/>
      <c r="D136" s="16" t="n"/>
      <c r="E136" s="17" t="n"/>
    </row>
    <row r="137">
      <c r="A137" s="15" t="n"/>
      <c r="C137" s="16" t="n"/>
      <c r="D137" s="16" t="n"/>
      <c r="E137" s="17" t="n"/>
    </row>
    <row r="138">
      <c r="A138" s="15" t="n"/>
      <c r="C138" s="16" t="n"/>
      <c r="D138" s="16" t="n"/>
      <c r="E138" s="17" t="n"/>
    </row>
    <row r="139">
      <c r="A139" s="15" t="n"/>
      <c r="C139" s="16" t="n"/>
      <c r="D139" s="16" t="n"/>
      <c r="E139" s="17" t="n"/>
    </row>
    <row r="140">
      <c r="A140" s="15" t="n"/>
      <c r="C140" s="16" t="n"/>
      <c r="D140" s="16" t="n"/>
      <c r="E140" s="17" t="n"/>
    </row>
    <row r="141">
      <c r="A141" s="15" t="n"/>
      <c r="C141" s="16" t="n"/>
      <c r="D141" s="16" t="n"/>
      <c r="E141" s="17" t="n"/>
    </row>
    <row r="142">
      <c r="A142" s="15" t="n"/>
      <c r="C142" s="16" t="n"/>
      <c r="D142" s="16" t="n"/>
      <c r="E142" s="17" t="n"/>
    </row>
    <row r="143">
      <c r="A143" s="15" t="n"/>
      <c r="C143" s="16" t="n"/>
      <c r="D143" s="16" t="n"/>
      <c r="E143" s="17" t="n"/>
    </row>
    <row r="144">
      <c r="A144" s="15" t="n"/>
      <c r="C144" s="16" t="n"/>
      <c r="D144" s="16" t="n"/>
      <c r="E144" s="17" t="n"/>
    </row>
    <row r="145">
      <c r="A145" s="15" t="n"/>
      <c r="C145" s="16" t="n"/>
      <c r="D145" s="16" t="n"/>
      <c r="E145" s="17" t="n"/>
    </row>
    <row r="146">
      <c r="A146" s="15" t="n"/>
      <c r="C146" s="16" t="n"/>
      <c r="D146" s="16" t="n"/>
      <c r="E146" s="17" t="n"/>
    </row>
    <row r="147">
      <c r="A147" s="15" t="n"/>
      <c r="C147" s="16" t="n"/>
      <c r="D147" s="16" t="n"/>
      <c r="E147" s="17" t="n"/>
    </row>
    <row r="148">
      <c r="A148" s="15" t="n"/>
      <c r="C148" s="16" t="n"/>
      <c r="D148" s="16" t="n"/>
      <c r="E148" s="17" t="n"/>
    </row>
    <row r="149">
      <c r="A149" s="15" t="n"/>
      <c r="C149" s="16" t="n"/>
      <c r="D149" s="16" t="n"/>
      <c r="E149" s="17" t="n"/>
    </row>
    <row r="150">
      <c r="A150" s="15" t="n"/>
      <c r="C150" s="16" t="n"/>
      <c r="D150" s="16" t="n"/>
      <c r="E150" s="17" t="n"/>
    </row>
    <row r="151">
      <c r="A151" s="15" t="n"/>
      <c r="C151" s="16" t="n"/>
      <c r="D151" s="16" t="n"/>
      <c r="E151" s="17" t="n"/>
    </row>
    <row r="152">
      <c r="A152" s="15" t="n"/>
      <c r="C152" s="16" t="n"/>
      <c r="D152" s="16" t="n"/>
      <c r="E152" s="17" t="n"/>
    </row>
    <row r="153">
      <c r="A153" s="15" t="n"/>
      <c r="C153" s="16" t="n"/>
      <c r="D153" s="16" t="n"/>
      <c r="E153" s="17" t="n"/>
    </row>
    <row r="154">
      <c r="A154" s="15" t="n"/>
      <c r="C154" s="16" t="n"/>
      <c r="D154" s="16" t="n"/>
      <c r="E154" s="17" t="n"/>
    </row>
    <row r="155">
      <c r="A155" s="15" t="n"/>
      <c r="C155" s="16" t="n"/>
      <c r="D155" s="16" t="n"/>
      <c r="E155" s="17" t="n"/>
    </row>
    <row r="156">
      <c r="A156" s="15" t="n"/>
      <c r="C156" s="16" t="n"/>
      <c r="D156" s="16" t="n"/>
      <c r="E156" s="17" t="n"/>
    </row>
    <row r="157">
      <c r="A157" s="15" t="n"/>
      <c r="C157" s="16" t="n"/>
      <c r="D157" s="16" t="n"/>
      <c r="E157" s="17" t="n"/>
    </row>
    <row r="158">
      <c r="A158" s="15" t="n"/>
      <c r="C158" s="16" t="n"/>
      <c r="D158" s="16" t="n"/>
      <c r="E158" s="17" t="n"/>
    </row>
    <row r="159">
      <c r="A159" s="15" t="n"/>
      <c r="C159" s="16" t="n"/>
      <c r="D159" s="16" t="n"/>
      <c r="E159" s="17" t="n"/>
    </row>
    <row r="160">
      <c r="A160" s="15" t="n"/>
      <c r="C160" s="16" t="n"/>
      <c r="D160" s="16" t="n"/>
      <c r="E160" s="17" t="n"/>
    </row>
    <row r="161">
      <c r="A161" s="15" t="n"/>
      <c r="C161" s="16" t="n"/>
      <c r="D161" s="16" t="n"/>
      <c r="E161" s="17" t="n"/>
    </row>
    <row r="162">
      <c r="A162" s="15" t="n"/>
      <c r="C162" s="16" t="n"/>
      <c r="D162" s="16" t="n"/>
      <c r="E162" s="17" t="n"/>
    </row>
    <row r="163">
      <c r="A163" s="15" t="n"/>
      <c r="C163" s="16" t="n"/>
      <c r="D163" s="16" t="n"/>
      <c r="E163" s="17" t="n"/>
    </row>
    <row r="164">
      <c r="A164" s="15" t="n"/>
      <c r="C164" s="16" t="n"/>
      <c r="D164" s="16" t="n"/>
      <c r="E164" s="17" t="n"/>
    </row>
    <row r="165">
      <c r="A165" s="15" t="n"/>
      <c r="C165" s="16" t="n"/>
      <c r="D165" s="16" t="n"/>
      <c r="E165" s="17" t="n"/>
    </row>
    <row r="166">
      <c r="A166" s="15" t="n"/>
      <c r="C166" s="16" t="n"/>
      <c r="D166" s="16" t="n"/>
      <c r="E166" s="17" t="n"/>
    </row>
    <row r="167">
      <c r="A167" s="15" t="n"/>
      <c r="C167" s="16" t="n"/>
      <c r="D167" s="16" t="n"/>
      <c r="E167" s="17" t="n"/>
    </row>
    <row r="168">
      <c r="A168" s="15" t="n"/>
      <c r="C168" s="16" t="n"/>
      <c r="D168" s="16" t="n"/>
      <c r="E168" s="17" t="n"/>
    </row>
    <row r="169">
      <c r="A169" s="15" t="n"/>
      <c r="C169" s="16" t="n"/>
      <c r="D169" s="16" t="n"/>
      <c r="E169" s="17" t="n"/>
    </row>
    <row r="170">
      <c r="A170" s="15" t="n"/>
      <c r="C170" s="16" t="n"/>
      <c r="D170" s="16" t="n"/>
      <c r="E170" s="17" t="n"/>
    </row>
    <row r="171">
      <c r="A171" s="15" t="n"/>
      <c r="C171" s="16" t="n"/>
      <c r="D171" s="16" t="n"/>
      <c r="E171" s="17" t="n"/>
    </row>
    <row r="172">
      <c r="A172" s="15" t="n"/>
      <c r="C172" s="16" t="n"/>
      <c r="D172" s="16" t="n"/>
      <c r="E172" s="17" t="n"/>
    </row>
    <row r="173">
      <c r="A173" s="15" t="n"/>
      <c r="C173" s="16" t="n"/>
      <c r="D173" s="16" t="n"/>
      <c r="E173" s="17" t="n"/>
    </row>
    <row r="174">
      <c r="A174" s="15" t="n"/>
      <c r="C174" s="16" t="n"/>
      <c r="D174" s="16" t="n"/>
      <c r="E174" s="17" t="n"/>
    </row>
    <row r="175">
      <c r="A175" s="15" t="n"/>
      <c r="C175" s="16" t="n"/>
      <c r="D175" s="16" t="n"/>
      <c r="E175" s="17" t="n"/>
    </row>
    <row r="176">
      <c r="A176" s="15" t="n"/>
      <c r="C176" s="16" t="n"/>
      <c r="D176" s="16" t="n"/>
      <c r="E176" s="17" t="n"/>
    </row>
    <row r="177">
      <c r="A177" s="15" t="n"/>
      <c r="C177" s="16" t="n"/>
      <c r="D177" s="16" t="n"/>
      <c r="E177" s="17" t="n"/>
    </row>
    <row r="178">
      <c r="A178" s="15" t="n"/>
      <c r="C178" s="16" t="n"/>
      <c r="D178" s="16" t="n"/>
      <c r="E178" s="17" t="n"/>
    </row>
    <row r="179">
      <c r="A179" s="15" t="n"/>
      <c r="C179" s="16" t="n"/>
      <c r="D179" s="16" t="n"/>
      <c r="E179" s="17" t="n"/>
    </row>
    <row r="180">
      <c r="A180" s="15" t="n"/>
      <c r="C180" s="16" t="n"/>
      <c r="D180" s="16" t="n"/>
      <c r="E180" s="17" t="n"/>
    </row>
    <row r="181">
      <c r="A181" s="15" t="n"/>
      <c r="C181" s="16" t="n"/>
      <c r="D181" s="16" t="n"/>
      <c r="E181" s="17" t="n"/>
    </row>
    <row r="182">
      <c r="A182" s="15" t="n"/>
      <c r="C182" s="16" t="n"/>
      <c r="D182" s="16" t="n"/>
      <c r="E182" s="17" t="n"/>
    </row>
    <row r="183">
      <c r="A183" s="15" t="n"/>
      <c r="C183" s="16" t="n"/>
      <c r="D183" s="16" t="n"/>
      <c r="E183" s="17" t="n"/>
    </row>
    <row r="184">
      <c r="A184" s="15" t="n"/>
      <c r="C184" s="16" t="n"/>
      <c r="D184" s="16" t="n"/>
      <c r="E184" s="17" t="n"/>
    </row>
    <row r="185">
      <c r="A185" s="15" t="n"/>
      <c r="C185" s="16" t="n"/>
      <c r="D185" s="16" t="n"/>
      <c r="E185" s="17" t="n"/>
    </row>
    <row r="186">
      <c r="A186" s="15" t="n"/>
      <c r="C186" s="16" t="n"/>
      <c r="D186" s="16" t="n"/>
      <c r="E186" s="17" t="n"/>
    </row>
    <row r="187">
      <c r="A187" s="15" t="n"/>
      <c r="C187" s="16" t="n"/>
      <c r="D187" s="16" t="n"/>
      <c r="E187" s="17" t="n"/>
    </row>
    <row r="188">
      <c r="A188" s="15" t="n"/>
      <c r="C188" s="16" t="n"/>
      <c r="D188" s="16" t="n"/>
      <c r="E188" s="17" t="n"/>
    </row>
    <row r="189">
      <c r="A189" s="15" t="n"/>
      <c r="C189" s="16" t="n"/>
      <c r="D189" s="16" t="n"/>
      <c r="E189" s="17" t="n"/>
    </row>
    <row r="190">
      <c r="A190" s="15" t="n"/>
      <c r="C190" s="16" t="n"/>
      <c r="D190" s="16" t="n"/>
      <c r="E190" s="17" t="n"/>
    </row>
    <row r="191">
      <c r="A191" s="15" t="n"/>
      <c r="C191" s="16" t="n"/>
      <c r="D191" s="16" t="n"/>
      <c r="E191" s="17" t="n"/>
    </row>
    <row r="192">
      <c r="A192" s="15" t="n"/>
      <c r="C192" s="16" t="n"/>
      <c r="D192" s="16" t="n"/>
      <c r="E192" s="17" t="n"/>
    </row>
    <row r="193">
      <c r="A193" s="15" t="n"/>
      <c r="C193" s="16" t="n"/>
      <c r="D193" s="16" t="n"/>
      <c r="E193" s="17" t="n"/>
    </row>
    <row r="194">
      <c r="A194" s="15" t="n"/>
      <c r="C194" s="16" t="n"/>
      <c r="D194" s="16" t="n"/>
      <c r="E194" s="17" t="n"/>
    </row>
    <row r="195">
      <c r="A195" s="15" t="n"/>
      <c r="C195" s="16" t="n"/>
      <c r="D195" s="16" t="n"/>
      <c r="E195" s="17" t="n"/>
    </row>
    <row r="196">
      <c r="A196" s="15" t="n"/>
      <c r="C196" s="16" t="n"/>
      <c r="D196" s="16" t="n"/>
      <c r="E196" s="17" t="n"/>
    </row>
    <row r="197">
      <c r="A197" s="15" t="n"/>
      <c r="C197" s="16" t="n"/>
      <c r="D197" s="16" t="n"/>
      <c r="E197" s="17" t="n"/>
    </row>
    <row r="198">
      <c r="A198" s="15" t="n"/>
      <c r="C198" s="16" t="n"/>
      <c r="D198" s="16" t="n"/>
      <c r="E198" s="17" t="n"/>
    </row>
    <row r="199">
      <c r="A199" s="15" t="n"/>
      <c r="C199" s="16" t="n"/>
      <c r="D199" s="16" t="n"/>
      <c r="E199" s="17" t="n"/>
    </row>
    <row r="200">
      <c r="A200" s="15" t="n"/>
      <c r="C200" s="16" t="n"/>
      <c r="D200" s="16" t="n"/>
      <c r="E200" s="17" t="n"/>
    </row>
    <row r="201">
      <c r="A201" s="15" t="n"/>
      <c r="C201" s="16" t="n"/>
      <c r="D201" s="16" t="n"/>
      <c r="E201" s="17" t="n"/>
    </row>
    <row r="202">
      <c r="A202" s="15" t="n"/>
      <c r="C202" s="16" t="n"/>
      <c r="D202" s="16" t="n"/>
      <c r="E202" s="17" t="n"/>
    </row>
    <row r="203">
      <c r="A203" s="15" t="n"/>
      <c r="C203" s="16" t="n"/>
      <c r="D203" s="16" t="n"/>
      <c r="E203" s="17" t="n"/>
    </row>
    <row r="204">
      <c r="A204" s="15" t="n"/>
      <c r="C204" s="16" t="n"/>
      <c r="D204" s="16" t="n"/>
      <c r="E204" s="17" t="n"/>
    </row>
    <row r="205">
      <c r="A205" s="15" t="n"/>
      <c r="C205" s="16" t="n"/>
      <c r="D205" s="16" t="n"/>
      <c r="E205" s="17" t="n"/>
    </row>
    <row r="206">
      <c r="A206" s="15" t="n"/>
      <c r="C206" s="16" t="n"/>
      <c r="D206" s="16" t="n"/>
      <c r="E206" s="17" t="n"/>
    </row>
    <row r="207">
      <c r="A207" s="15" t="n"/>
      <c r="C207" s="16" t="n"/>
      <c r="D207" s="16" t="n"/>
      <c r="E207" s="17" t="n"/>
    </row>
    <row r="208">
      <c r="A208" s="15" t="n"/>
      <c r="C208" s="16" t="n"/>
      <c r="D208" s="16" t="n"/>
      <c r="E208" s="17" t="n"/>
    </row>
    <row r="209">
      <c r="A209" s="15" t="n"/>
      <c r="C209" s="16" t="n"/>
      <c r="D209" s="16" t="n"/>
      <c r="E209" s="17" t="n"/>
    </row>
    <row r="210">
      <c r="A210" s="15" t="n"/>
      <c r="C210" s="16" t="n"/>
      <c r="D210" s="16" t="n"/>
      <c r="E210" s="17" t="n"/>
    </row>
    <row r="211">
      <c r="A211" s="15" t="n"/>
      <c r="C211" s="16" t="n"/>
      <c r="D211" s="16" t="n"/>
      <c r="E211" s="17" t="n"/>
    </row>
    <row r="212">
      <c r="A212" s="15" t="n"/>
      <c r="C212" s="16" t="n"/>
      <c r="D212" s="16" t="n"/>
      <c r="E212" s="17" t="n"/>
    </row>
    <row r="213">
      <c r="A213" s="15" t="n"/>
      <c r="C213" s="16" t="n"/>
      <c r="D213" s="16" t="n"/>
      <c r="E213" s="17" t="n"/>
    </row>
    <row r="214">
      <c r="A214" s="15" t="n"/>
      <c r="C214" s="16" t="n"/>
      <c r="D214" s="16" t="n"/>
      <c r="E214" s="17" t="n"/>
    </row>
    <row r="215">
      <c r="A215" s="15" t="n"/>
      <c r="C215" s="16" t="n"/>
      <c r="D215" s="16" t="n"/>
      <c r="E215" s="17" t="n"/>
    </row>
    <row r="216">
      <c r="A216" s="15" t="n"/>
      <c r="C216" s="16" t="n"/>
      <c r="D216" s="16" t="n"/>
      <c r="E216" s="17" t="n"/>
    </row>
    <row r="217">
      <c r="A217" s="15" t="n"/>
      <c r="C217" s="16" t="n"/>
      <c r="D217" s="16" t="n"/>
      <c r="E217" s="17" t="n"/>
    </row>
    <row r="218">
      <c r="A218" s="15" t="n"/>
      <c r="C218" s="16" t="n"/>
      <c r="D218" s="16" t="n"/>
      <c r="E218" s="17" t="n"/>
    </row>
    <row r="219">
      <c r="A219" s="15" t="n"/>
      <c r="C219" s="16" t="n"/>
      <c r="D219" s="16" t="n"/>
      <c r="E219" s="17" t="n"/>
    </row>
    <row r="220">
      <c r="A220" s="15" t="n"/>
      <c r="C220" s="16" t="n"/>
      <c r="D220" s="16" t="n"/>
      <c r="E220" s="17" t="n"/>
    </row>
    <row r="221">
      <c r="A221" s="15" t="n"/>
      <c r="C221" s="16" t="n"/>
      <c r="D221" s="16" t="n"/>
      <c r="E221" s="17" t="n"/>
    </row>
    <row r="222">
      <c r="A222" s="15" t="n"/>
      <c r="C222" s="16" t="n"/>
      <c r="D222" s="16" t="n"/>
      <c r="E222" s="17" t="n"/>
    </row>
    <row r="223">
      <c r="A223" s="15" t="n"/>
      <c r="C223" s="16" t="n"/>
      <c r="D223" s="16" t="n"/>
      <c r="E223" s="17" t="n"/>
    </row>
    <row r="224">
      <c r="A224" s="15" t="n"/>
      <c r="C224" s="16" t="n"/>
      <c r="D224" s="16" t="n"/>
      <c r="E224" s="17" t="n"/>
    </row>
    <row r="225">
      <c r="A225" s="15" t="n"/>
      <c r="C225" s="16" t="n"/>
      <c r="D225" s="16" t="n"/>
      <c r="E225" s="17" t="n"/>
    </row>
    <row r="226">
      <c r="A226" s="15" t="n"/>
      <c r="C226" s="16" t="n"/>
      <c r="D226" s="16" t="n"/>
      <c r="E226" s="17" t="n"/>
    </row>
    <row r="227">
      <c r="A227" s="15" t="n"/>
      <c r="C227" s="16" t="n"/>
      <c r="D227" s="16" t="n"/>
      <c r="E227" s="17" t="n"/>
    </row>
    <row r="228">
      <c r="A228" s="15" t="n"/>
      <c r="C228" s="16" t="n"/>
      <c r="D228" s="16" t="n"/>
      <c r="E228" s="17" t="n"/>
    </row>
    <row r="229">
      <c r="A229" s="15" t="n"/>
      <c r="C229" s="16" t="n"/>
      <c r="D229" s="16" t="n"/>
      <c r="E229" s="17" t="n"/>
    </row>
    <row r="230">
      <c r="A230" s="15" t="n"/>
      <c r="C230" s="16" t="n"/>
      <c r="D230" s="16" t="n"/>
      <c r="E230" s="17" t="n"/>
    </row>
    <row r="231">
      <c r="A231" s="15" t="n"/>
      <c r="C231" s="16" t="n"/>
      <c r="D231" s="16" t="n"/>
      <c r="E231" s="17" t="n"/>
    </row>
    <row r="232">
      <c r="A232" s="15" t="n"/>
      <c r="C232" s="16" t="n"/>
      <c r="D232" s="16" t="n"/>
      <c r="E232" s="17" t="n"/>
    </row>
    <row r="233">
      <c r="A233" s="15" t="n"/>
      <c r="C233" s="16" t="n"/>
      <c r="D233" s="16" t="n"/>
      <c r="E233" s="17" t="n"/>
    </row>
    <row r="234">
      <c r="A234" s="15" t="n"/>
      <c r="C234" s="16" t="n"/>
      <c r="D234" s="16" t="n"/>
      <c r="E234" s="17" t="n"/>
    </row>
    <row r="235">
      <c r="A235" s="15" t="n"/>
      <c r="C235" s="16" t="n"/>
      <c r="D235" s="16" t="n"/>
      <c r="E235" s="17" t="n"/>
    </row>
    <row r="236">
      <c r="A236" s="15" t="n"/>
      <c r="C236" s="16" t="n"/>
      <c r="D236" s="16" t="n"/>
      <c r="E236" s="17" t="n"/>
    </row>
    <row r="237">
      <c r="A237" s="15" t="n"/>
      <c r="C237" s="16" t="n"/>
      <c r="D237" s="16" t="n"/>
      <c r="E237" s="17" t="n"/>
    </row>
    <row r="238">
      <c r="A238" s="15" t="n"/>
      <c r="C238" s="16" t="n"/>
      <c r="D238" s="16" t="n"/>
      <c r="E238" s="17" t="n"/>
    </row>
    <row r="239">
      <c r="A239" s="15" t="n"/>
      <c r="C239" s="16" t="n"/>
      <c r="D239" s="16" t="n"/>
      <c r="E239" s="17" t="n"/>
    </row>
    <row r="240">
      <c r="A240" s="15" t="n"/>
      <c r="C240" s="16" t="n"/>
      <c r="D240" s="16" t="n"/>
      <c r="E240" s="17" t="n"/>
    </row>
    <row r="241">
      <c r="A241" s="15" t="n"/>
      <c r="C241" s="16" t="n"/>
      <c r="D241" s="16" t="n"/>
      <c r="E241" s="17" t="n"/>
    </row>
    <row r="242">
      <c r="A242" s="15" t="n"/>
      <c r="C242" s="16" t="n"/>
      <c r="D242" s="16" t="n"/>
      <c r="E242" s="17" t="n"/>
    </row>
    <row r="243">
      <c r="A243" s="15" t="n"/>
      <c r="C243" s="16" t="n"/>
      <c r="D243" s="16" t="n"/>
      <c r="E243" s="17" t="n"/>
    </row>
    <row r="244">
      <c r="A244" s="15" t="n"/>
      <c r="C244" s="16" t="n"/>
      <c r="D244" s="16" t="n"/>
      <c r="E244" s="17" t="n"/>
    </row>
    <row r="245">
      <c r="A245" s="15" t="n"/>
      <c r="C245" s="16" t="n"/>
      <c r="D245" s="16" t="n"/>
      <c r="E245" s="17" t="n"/>
    </row>
    <row r="246">
      <c r="A246" s="15" t="n"/>
      <c r="C246" s="16" t="n"/>
      <c r="D246" s="16" t="n"/>
      <c r="E246" s="17" t="n"/>
    </row>
    <row r="247">
      <c r="A247" s="15" t="n"/>
      <c r="C247" s="16" t="n"/>
      <c r="D247" s="16" t="n"/>
      <c r="E247" s="17" t="n"/>
    </row>
    <row r="248">
      <c r="A248" s="15" t="n"/>
      <c r="C248" s="16" t="n"/>
      <c r="D248" s="16" t="n"/>
      <c r="E248" s="17" t="n"/>
    </row>
    <row r="249">
      <c r="A249" s="15" t="n"/>
      <c r="C249" s="16" t="n"/>
      <c r="D249" s="16" t="n"/>
      <c r="E249" s="17" t="n"/>
    </row>
    <row r="250">
      <c r="A250" s="15" t="n"/>
      <c r="C250" s="16" t="n"/>
      <c r="D250" s="16" t="n"/>
      <c r="E250" s="17" t="n"/>
    </row>
    <row r="251">
      <c r="A251" s="15" t="n"/>
      <c r="C251" s="16" t="n"/>
      <c r="D251" s="16" t="n"/>
      <c r="E251" s="17" t="n"/>
    </row>
    <row r="252">
      <c r="A252" s="15" t="n"/>
      <c r="C252" s="16" t="n"/>
      <c r="D252" s="16" t="n"/>
      <c r="E252" s="17" t="n"/>
    </row>
    <row r="253">
      <c r="A253" s="15" t="n"/>
      <c r="C253" s="16" t="n"/>
      <c r="D253" s="16" t="n"/>
      <c r="E253" s="17" t="n"/>
    </row>
    <row r="254">
      <c r="A254" s="15" t="n"/>
      <c r="C254" s="16" t="n"/>
      <c r="D254" s="16" t="n"/>
      <c r="E254" s="17" t="n"/>
    </row>
    <row r="255">
      <c r="A255" s="15" t="n"/>
      <c r="C255" s="16" t="n"/>
      <c r="D255" s="16" t="n"/>
      <c r="E255" s="17" t="n"/>
    </row>
    <row r="256">
      <c r="A256" s="15" t="n"/>
      <c r="C256" s="16" t="n"/>
      <c r="D256" s="16" t="n"/>
      <c r="E256" s="17" t="n"/>
    </row>
    <row r="257">
      <c r="A257" s="15" t="n"/>
      <c r="C257" s="16" t="n"/>
      <c r="D257" s="16" t="n"/>
      <c r="E257" s="17" t="n"/>
    </row>
    <row r="258">
      <c r="A258" s="15" t="n"/>
      <c r="C258" s="16" t="n"/>
      <c r="D258" s="16" t="n"/>
      <c r="E258" s="17" t="n"/>
    </row>
    <row r="259">
      <c r="A259" s="15" t="n"/>
      <c r="C259" s="16" t="n"/>
      <c r="D259" s="16" t="n"/>
      <c r="E259" s="17" t="n"/>
    </row>
    <row r="260">
      <c r="A260" s="15" t="n"/>
      <c r="C260" s="16" t="n"/>
      <c r="D260" s="16" t="n"/>
      <c r="E260" s="17" t="n"/>
    </row>
    <row r="261">
      <c r="A261" s="15" t="n"/>
      <c r="C261" s="16" t="n"/>
      <c r="D261" s="16" t="n"/>
      <c r="E261" s="17" t="n"/>
    </row>
    <row r="262">
      <c r="A262" s="15" t="n"/>
      <c r="C262" s="16" t="n"/>
      <c r="D262" s="16" t="n"/>
      <c r="E262" s="17" t="n"/>
    </row>
    <row r="263">
      <c r="A263" s="15" t="n"/>
      <c r="C263" s="16" t="n"/>
      <c r="D263" s="16" t="n"/>
      <c r="E263" s="17" t="n"/>
    </row>
    <row r="264">
      <c r="A264" s="15" t="n"/>
      <c r="C264" s="16" t="n"/>
      <c r="D264" s="16" t="n"/>
      <c r="E264" s="17" t="n"/>
    </row>
    <row r="265">
      <c r="A265" s="15" t="n"/>
      <c r="C265" s="16" t="n"/>
      <c r="D265" s="16" t="n"/>
      <c r="E265" s="17" t="n"/>
    </row>
    <row r="266">
      <c r="A266" s="15" t="n"/>
      <c r="C266" s="16" t="n"/>
      <c r="D266" s="16" t="n"/>
      <c r="E266" s="17" t="n"/>
    </row>
    <row r="267">
      <c r="A267" s="15" t="n"/>
      <c r="C267" s="16" t="n"/>
      <c r="D267" s="16" t="n"/>
      <c r="E267" s="17" t="n"/>
    </row>
    <row r="268">
      <c r="A268" s="15" t="n"/>
      <c r="C268" s="16" t="n"/>
      <c r="D268" s="16" t="n"/>
      <c r="E268" s="17" t="n"/>
    </row>
    <row r="269">
      <c r="A269" s="15" t="n"/>
      <c r="C269" s="16" t="n"/>
      <c r="D269" s="16" t="n"/>
      <c r="E269" s="17" t="n"/>
    </row>
    <row r="270">
      <c r="A270" s="15" t="n"/>
      <c r="C270" s="16" t="n"/>
      <c r="D270" s="16" t="n"/>
      <c r="E270" s="17" t="n"/>
    </row>
    <row r="271">
      <c r="A271" s="15" t="n"/>
      <c r="C271" s="16" t="n"/>
      <c r="D271" s="16" t="n"/>
      <c r="E271" s="17" t="n"/>
    </row>
    <row r="272">
      <c r="A272" s="15" t="n"/>
      <c r="C272" s="16" t="n"/>
      <c r="D272" s="16" t="n"/>
      <c r="E272" s="17" t="n"/>
    </row>
    <row r="273">
      <c r="A273" s="15" t="n"/>
      <c r="C273" s="16" t="n"/>
      <c r="D273" s="16" t="n"/>
      <c r="E273" s="17" t="n"/>
    </row>
    <row r="274">
      <c r="A274" s="15" t="n"/>
      <c r="C274" s="16" t="n"/>
      <c r="D274" s="16" t="n"/>
      <c r="E274" s="17" t="n"/>
    </row>
    <row r="275">
      <c r="A275" s="15" t="n"/>
      <c r="C275" s="16" t="n"/>
      <c r="D275" s="16" t="n"/>
      <c r="E275" s="17" t="n"/>
    </row>
    <row r="276">
      <c r="A276" s="15" t="n"/>
      <c r="C276" s="16" t="n"/>
      <c r="D276" s="16" t="n"/>
      <c r="E276" s="17" t="n"/>
    </row>
    <row r="277">
      <c r="A277" s="15" t="n"/>
      <c r="C277" s="16" t="n"/>
      <c r="D277" s="16" t="n"/>
      <c r="E277" s="17" t="n"/>
    </row>
    <row r="278">
      <c r="A278" s="15" t="n"/>
      <c r="C278" s="16" t="n"/>
      <c r="D278" s="16" t="n"/>
      <c r="E278" s="17" t="n"/>
    </row>
    <row r="279">
      <c r="A279" s="15" t="n"/>
      <c r="C279" s="16" t="n"/>
      <c r="D279" s="16" t="n"/>
      <c r="E279" s="17" t="n"/>
    </row>
    <row r="280">
      <c r="A280" s="15" t="n"/>
      <c r="C280" s="16" t="n"/>
      <c r="D280" s="16" t="n"/>
      <c r="E280" s="17" t="n"/>
    </row>
    <row r="281">
      <c r="A281" s="15" t="n"/>
      <c r="C281" s="16" t="n"/>
      <c r="D281" s="16" t="n"/>
      <c r="E281" s="17" t="n"/>
    </row>
    <row r="282">
      <c r="A282" s="15" t="n"/>
      <c r="C282" s="16" t="n"/>
      <c r="D282" s="16" t="n"/>
      <c r="E282" s="17" t="n"/>
    </row>
    <row r="283">
      <c r="A283" s="15" t="n"/>
      <c r="C283" s="16" t="n"/>
      <c r="D283" s="16" t="n"/>
      <c r="E283" s="17" t="n"/>
    </row>
    <row r="284">
      <c r="A284" s="15" t="n"/>
      <c r="C284" s="16" t="n"/>
      <c r="D284" s="16" t="n"/>
      <c r="E284" s="17" t="n"/>
    </row>
    <row r="285">
      <c r="A285" s="15" t="n"/>
      <c r="C285" s="16" t="n"/>
      <c r="D285" s="16" t="n"/>
      <c r="E285" s="17" t="n"/>
    </row>
    <row r="286">
      <c r="A286" s="15" t="n"/>
      <c r="C286" s="16" t="n"/>
      <c r="D286" s="16" t="n"/>
      <c r="E286" s="17" t="n"/>
    </row>
    <row r="287">
      <c r="A287" s="15" t="n"/>
      <c r="C287" s="16" t="n"/>
      <c r="D287" s="16" t="n"/>
      <c r="E287" s="17" t="n"/>
    </row>
    <row r="288">
      <c r="A288" s="15" t="n"/>
      <c r="C288" s="16" t="n"/>
      <c r="D288" s="16" t="n"/>
      <c r="E288" s="17" t="n"/>
    </row>
    <row r="289">
      <c r="A289" s="15" t="n"/>
      <c r="C289" s="16" t="n"/>
      <c r="D289" s="16" t="n"/>
      <c r="E289" s="17" t="n"/>
    </row>
    <row r="290">
      <c r="A290" s="15" t="n"/>
      <c r="C290" s="16" t="n"/>
      <c r="D290" s="16" t="n"/>
      <c r="E290" s="17" t="n"/>
    </row>
    <row r="291">
      <c r="A291" s="15" t="n"/>
      <c r="C291" s="16" t="n"/>
      <c r="D291" s="16" t="n"/>
      <c r="E291" s="17" t="n"/>
    </row>
    <row r="292">
      <c r="A292" s="15" t="n"/>
      <c r="C292" s="16" t="n"/>
      <c r="D292" s="16" t="n"/>
      <c r="E292" s="17" t="n"/>
    </row>
    <row r="293">
      <c r="A293" s="15" t="n"/>
      <c r="C293" s="16" t="n"/>
      <c r="D293" s="16" t="n"/>
      <c r="E293" s="17" t="n"/>
    </row>
    <row r="294">
      <c r="A294" s="15" t="n"/>
      <c r="C294" s="16" t="n"/>
      <c r="D294" s="16" t="n"/>
      <c r="E294" s="17" t="n"/>
    </row>
    <row r="295">
      <c r="A295" s="15" t="n"/>
      <c r="C295" s="16" t="n"/>
      <c r="D295" s="16" t="n"/>
      <c r="E295" s="17" t="n"/>
    </row>
    <row r="296">
      <c r="A296" s="15" t="n"/>
      <c r="C296" s="16" t="n"/>
      <c r="D296" s="16" t="n"/>
      <c r="E296" s="17" t="n"/>
    </row>
    <row r="297">
      <c r="A297" s="15" t="n"/>
      <c r="C297" s="16" t="n"/>
      <c r="D297" s="16" t="n"/>
      <c r="E297" s="17" t="n"/>
    </row>
    <row r="298">
      <c r="A298" s="15" t="n"/>
      <c r="C298" s="16" t="n"/>
      <c r="D298" s="16" t="n"/>
      <c r="E298" s="17" t="n"/>
    </row>
    <row r="299">
      <c r="A299" s="15" t="n"/>
      <c r="C299" s="16" t="n"/>
      <c r="D299" s="16" t="n"/>
      <c r="E299" s="17" t="n"/>
    </row>
    <row r="300">
      <c r="A300" s="15" t="n"/>
      <c r="C300" s="16" t="n"/>
      <c r="D300" s="16" t="n"/>
      <c r="E300" s="17" t="n"/>
    </row>
    <row r="301">
      <c r="A301" s="15" t="n"/>
      <c r="C301" s="16" t="n"/>
      <c r="D301" s="16" t="n"/>
      <c r="E301" s="17" t="n"/>
    </row>
    <row r="302">
      <c r="A302" s="15" t="n"/>
      <c r="C302" s="16" t="n"/>
      <c r="D302" s="16" t="n"/>
      <c r="E302" s="17" t="n"/>
    </row>
    <row r="303">
      <c r="A303" s="15" t="n"/>
      <c r="C303" s="16" t="n"/>
      <c r="D303" s="16" t="n"/>
      <c r="E303" s="17" t="n"/>
    </row>
    <row r="304">
      <c r="A304" s="15" t="n"/>
      <c r="C304" s="16" t="n"/>
      <c r="D304" s="16" t="n"/>
      <c r="E304" s="17" t="n"/>
    </row>
    <row r="305">
      <c r="A305" s="15" t="n"/>
      <c r="C305" s="16" t="n"/>
      <c r="D305" s="16" t="n"/>
      <c r="E305" s="17" t="n"/>
    </row>
    <row r="306">
      <c r="A306" s="15" t="n"/>
      <c r="C306" s="16" t="n"/>
      <c r="D306" s="16" t="n"/>
      <c r="E306" s="17" t="n"/>
    </row>
    <row r="307">
      <c r="A307" s="15" t="n"/>
      <c r="C307" s="16" t="n"/>
      <c r="D307" s="16" t="n"/>
      <c r="E307" s="17" t="n"/>
    </row>
    <row r="308">
      <c r="A308" s="15" t="n"/>
      <c r="C308" s="16" t="n"/>
      <c r="D308" s="16" t="n"/>
      <c r="E308" s="17" t="n"/>
    </row>
    <row r="309">
      <c r="A309" s="15" t="n"/>
      <c r="C309" s="16" t="n"/>
      <c r="D309" s="16" t="n"/>
      <c r="E309" s="17" t="n"/>
    </row>
    <row r="310">
      <c r="A310" s="15" t="n"/>
      <c r="C310" s="16" t="n"/>
      <c r="D310" s="16" t="n"/>
      <c r="E310" s="17" t="n"/>
    </row>
    <row r="311">
      <c r="A311" s="15" t="n"/>
      <c r="C311" s="16" t="n"/>
      <c r="D311" s="16" t="n"/>
      <c r="E311" s="17" t="n"/>
    </row>
    <row r="312">
      <c r="A312" s="15" t="n"/>
      <c r="C312" s="16" t="n"/>
      <c r="D312" s="16" t="n"/>
      <c r="E312" s="17" t="n"/>
    </row>
    <row r="313">
      <c r="A313" s="15" t="n"/>
      <c r="C313" s="16" t="n"/>
      <c r="D313" s="16" t="n"/>
      <c r="E313" s="17" t="n"/>
    </row>
    <row r="314">
      <c r="A314" s="15" t="n"/>
      <c r="C314" s="16" t="n"/>
      <c r="D314" s="16" t="n"/>
      <c r="E314" s="17" t="n"/>
    </row>
    <row r="315">
      <c r="A315" s="15" t="n"/>
      <c r="C315" s="16" t="n"/>
      <c r="D315" s="16" t="n"/>
      <c r="E315" s="17" t="n"/>
    </row>
    <row r="316">
      <c r="A316" s="15" t="n"/>
      <c r="C316" s="16" t="n"/>
      <c r="D316" s="16" t="n"/>
      <c r="E316" s="17" t="n"/>
    </row>
    <row r="317">
      <c r="A317" s="15" t="n"/>
      <c r="C317" s="16" t="n"/>
      <c r="D317" s="16" t="n"/>
      <c r="E317" s="17" t="n"/>
    </row>
    <row r="318">
      <c r="A318" s="15" t="n"/>
      <c r="C318" s="16" t="n"/>
      <c r="D318" s="16" t="n"/>
      <c r="E318" s="17" t="n"/>
    </row>
    <row r="319">
      <c r="A319" s="15" t="n"/>
      <c r="C319" s="16" t="n"/>
      <c r="D319" s="16" t="n"/>
      <c r="E319" s="17" t="n"/>
    </row>
    <row r="320">
      <c r="A320" s="15" t="n"/>
      <c r="C320" s="16" t="n"/>
      <c r="D320" s="16" t="n"/>
      <c r="E320" s="17" t="n"/>
    </row>
    <row r="321">
      <c r="A321" s="15" t="n"/>
      <c r="C321" s="16" t="n"/>
      <c r="D321" s="16" t="n"/>
      <c r="E321" s="17" t="n"/>
    </row>
    <row r="322">
      <c r="A322" s="15" t="n"/>
      <c r="C322" s="16" t="n"/>
      <c r="D322" s="16" t="n"/>
      <c r="E322" s="17" t="n"/>
    </row>
    <row r="323">
      <c r="A323" s="15" t="n"/>
      <c r="C323" s="16" t="n"/>
      <c r="D323" s="16" t="n"/>
      <c r="E323" s="17" t="n"/>
    </row>
    <row r="324">
      <c r="A324" s="15" t="n"/>
      <c r="C324" s="16" t="n"/>
      <c r="D324" s="16" t="n"/>
      <c r="E324" s="17" t="n"/>
    </row>
    <row r="325">
      <c r="A325" s="15" t="n"/>
      <c r="C325" s="16" t="n"/>
      <c r="D325" s="16" t="n"/>
      <c r="E325" s="17" t="n"/>
    </row>
    <row r="326">
      <c r="A326" s="15" t="n"/>
      <c r="C326" s="16" t="n"/>
      <c r="D326" s="16" t="n"/>
      <c r="E326" s="17" t="n"/>
    </row>
    <row r="327">
      <c r="A327" s="15" t="n"/>
      <c r="C327" s="16" t="n"/>
      <c r="D327" s="16" t="n"/>
      <c r="E327" s="17" t="n"/>
    </row>
    <row r="328">
      <c r="A328" s="15" t="n"/>
      <c r="C328" s="16" t="n"/>
      <c r="D328" s="16" t="n"/>
      <c r="E328" s="17" t="n"/>
    </row>
    <row r="329">
      <c r="A329" s="15" t="n"/>
      <c r="C329" s="16" t="n"/>
      <c r="D329" s="16" t="n"/>
      <c r="E329" s="17" t="n"/>
    </row>
    <row r="330">
      <c r="A330" s="15" t="n"/>
      <c r="C330" s="16" t="n"/>
      <c r="D330" s="16" t="n"/>
      <c r="E330" s="17" t="n"/>
    </row>
    <row r="331">
      <c r="A331" s="15" t="n"/>
      <c r="C331" s="16" t="n"/>
      <c r="D331" s="16" t="n"/>
      <c r="E331" s="17" t="n"/>
    </row>
    <row r="332">
      <c r="A332" s="15" t="n"/>
      <c r="C332" s="16" t="n"/>
      <c r="D332" s="16" t="n"/>
      <c r="E332" s="17" t="n"/>
    </row>
    <row r="333">
      <c r="A333" s="15" t="n"/>
      <c r="C333" s="16" t="n"/>
      <c r="D333" s="16" t="n"/>
      <c r="E333" s="17" t="n"/>
    </row>
    <row r="334">
      <c r="A334" s="15" t="n"/>
      <c r="C334" s="16" t="n"/>
      <c r="D334" s="16" t="n"/>
      <c r="E334" s="17" t="n"/>
    </row>
    <row r="335">
      <c r="A335" s="15" t="n"/>
      <c r="C335" s="16" t="n"/>
      <c r="D335" s="16" t="n"/>
      <c r="E335" s="17" t="n"/>
    </row>
    <row r="336">
      <c r="A336" s="15" t="n"/>
      <c r="C336" s="16" t="n"/>
      <c r="D336" s="16" t="n"/>
      <c r="E336" s="17" t="n"/>
    </row>
    <row r="337">
      <c r="A337" s="15" t="n"/>
      <c r="C337" s="16" t="n"/>
      <c r="D337" s="16" t="n"/>
      <c r="E337" s="17" t="n"/>
    </row>
    <row r="338">
      <c r="A338" s="15" t="n"/>
      <c r="C338" s="16" t="n"/>
      <c r="D338" s="16" t="n"/>
      <c r="E338" s="17" t="n"/>
    </row>
    <row r="339">
      <c r="A339" s="15" t="n"/>
      <c r="C339" s="16" t="n"/>
      <c r="D339" s="16" t="n"/>
      <c r="E339" s="17" t="n"/>
    </row>
    <row r="340">
      <c r="A340" s="15" t="n"/>
      <c r="C340" s="16" t="n"/>
      <c r="D340" s="16" t="n"/>
      <c r="E340" s="17" t="n"/>
    </row>
    <row r="341">
      <c r="A341" s="15" t="n"/>
      <c r="C341" s="16" t="n"/>
      <c r="D341" s="16" t="n"/>
      <c r="E341" s="17" t="n"/>
    </row>
    <row r="342">
      <c r="A342" s="15" t="n"/>
      <c r="C342" s="16" t="n"/>
      <c r="D342" s="16" t="n"/>
      <c r="E342" s="17" t="n"/>
    </row>
    <row r="343">
      <c r="A343" s="15" t="n"/>
      <c r="C343" s="16" t="n"/>
      <c r="D343" s="16" t="n"/>
      <c r="E343" s="17" t="n"/>
    </row>
    <row r="344">
      <c r="A344" s="15" t="n"/>
      <c r="C344" s="16" t="n"/>
      <c r="D344" s="16" t="n"/>
      <c r="E344" s="17" t="n"/>
    </row>
    <row r="345">
      <c r="A345" s="15" t="n"/>
      <c r="C345" s="16" t="n"/>
      <c r="D345" s="16" t="n"/>
      <c r="E345" s="17" t="n"/>
    </row>
    <row r="346">
      <c r="A346" s="15" t="n"/>
      <c r="C346" s="16" t="n"/>
      <c r="D346" s="16" t="n"/>
      <c r="E346" s="17" t="n"/>
    </row>
    <row r="347">
      <c r="A347" s="15" t="n"/>
      <c r="C347" s="16" t="n"/>
      <c r="D347" s="16" t="n"/>
      <c r="E347" s="17" t="n"/>
    </row>
    <row r="348">
      <c r="A348" s="15" t="n"/>
      <c r="C348" s="16" t="n"/>
      <c r="D348" s="16" t="n"/>
      <c r="E348" s="17" t="n"/>
    </row>
    <row r="349">
      <c r="A349" s="15" t="n"/>
      <c r="C349" s="16" t="n"/>
      <c r="D349" s="16" t="n"/>
      <c r="E349" s="17" t="n"/>
    </row>
    <row r="350">
      <c r="A350" s="15" t="n"/>
      <c r="C350" s="16" t="n"/>
      <c r="D350" s="16" t="n"/>
      <c r="E350" s="17" t="n"/>
    </row>
    <row r="351">
      <c r="A351" s="15" t="n"/>
      <c r="C351" s="16" t="n"/>
      <c r="D351" s="16" t="n"/>
      <c r="E351" s="17" t="n"/>
    </row>
    <row r="352">
      <c r="A352" s="15" t="n"/>
      <c r="C352" s="16" t="n"/>
      <c r="D352" s="16" t="n"/>
      <c r="E352" s="17" t="n"/>
    </row>
    <row r="353">
      <c r="A353" s="15" t="n"/>
      <c r="C353" s="16" t="n"/>
      <c r="D353" s="16" t="n"/>
      <c r="E353" s="17" t="n"/>
    </row>
    <row r="354">
      <c r="A354" s="15" t="n"/>
      <c r="C354" s="16" t="n"/>
      <c r="D354" s="16" t="n"/>
      <c r="E354" s="17" t="n"/>
    </row>
    <row r="355">
      <c r="A355" s="15" t="n"/>
      <c r="C355" s="16" t="n"/>
      <c r="D355" s="16" t="n"/>
      <c r="E355" s="17" t="n"/>
    </row>
    <row r="356">
      <c r="A356" s="15" t="n"/>
      <c r="C356" s="16" t="n"/>
      <c r="D356" s="16" t="n"/>
      <c r="E356" s="17" t="n"/>
    </row>
    <row r="357">
      <c r="A357" s="15" t="n"/>
      <c r="C357" s="16" t="n"/>
      <c r="D357" s="16" t="n"/>
      <c r="E357" s="17" t="n"/>
    </row>
    <row r="358">
      <c r="A358" s="15" t="n"/>
      <c r="C358" s="16" t="n"/>
      <c r="D358" s="16" t="n"/>
      <c r="E358" s="17" t="n"/>
    </row>
    <row r="359">
      <c r="A359" s="15" t="n"/>
      <c r="C359" s="16" t="n"/>
      <c r="D359" s="16" t="n"/>
      <c r="E359" s="17" t="n"/>
    </row>
    <row r="360">
      <c r="A360" s="15" t="n"/>
      <c r="C360" s="16" t="n"/>
      <c r="D360" s="16" t="n"/>
      <c r="E360" s="17" t="n"/>
    </row>
    <row r="361">
      <c r="A361" s="15" t="n"/>
      <c r="C361" s="16" t="n"/>
      <c r="D361" s="16" t="n"/>
      <c r="E361" s="17" t="n"/>
    </row>
    <row r="362">
      <c r="A362" s="15" t="n"/>
      <c r="C362" s="16" t="n"/>
      <c r="D362" s="16" t="n"/>
      <c r="E362" s="17" t="n"/>
    </row>
    <row r="363">
      <c r="A363" s="15" t="n"/>
      <c r="C363" s="16" t="n"/>
      <c r="D363" s="16" t="n"/>
      <c r="E363" s="17" t="n"/>
    </row>
    <row r="364">
      <c r="A364" s="15" t="n"/>
      <c r="C364" s="16" t="n"/>
      <c r="D364" s="16" t="n"/>
      <c r="E364" s="17" t="n"/>
    </row>
    <row r="365">
      <c r="A365" s="15" t="n"/>
      <c r="C365" s="16" t="n"/>
      <c r="D365" s="16" t="n"/>
      <c r="E365" s="17" t="n"/>
    </row>
    <row r="366">
      <c r="A366" s="15" t="n"/>
      <c r="C366" s="16" t="n"/>
      <c r="D366" s="16" t="n"/>
      <c r="E366" s="17" t="n"/>
    </row>
    <row r="367">
      <c r="A367" s="15" t="n"/>
      <c r="C367" s="16" t="n"/>
      <c r="D367" s="16" t="n"/>
      <c r="E367" s="17" t="n"/>
    </row>
    <row r="368">
      <c r="A368" s="15" t="n"/>
      <c r="C368" s="16" t="n"/>
      <c r="D368" s="16" t="n"/>
      <c r="E368" s="17" t="n"/>
    </row>
    <row r="369">
      <c r="A369" s="15" t="n"/>
      <c r="C369" s="16" t="n"/>
      <c r="D369" s="16" t="n"/>
      <c r="E369" s="17" t="n"/>
    </row>
    <row r="370">
      <c r="A370" s="15" t="n"/>
      <c r="C370" s="16" t="n"/>
      <c r="D370" s="16" t="n"/>
      <c r="E370" s="17" t="n"/>
    </row>
    <row r="371">
      <c r="A371" s="15" t="n"/>
      <c r="C371" s="16" t="n"/>
      <c r="D371" s="16" t="n"/>
      <c r="E371" s="17" t="n"/>
    </row>
    <row r="372">
      <c r="A372" s="15" t="n"/>
      <c r="C372" s="16" t="n"/>
      <c r="D372" s="16" t="n"/>
      <c r="E372" s="17" t="n"/>
    </row>
    <row r="373">
      <c r="A373" s="15" t="n"/>
      <c r="C373" s="16" t="n"/>
      <c r="D373" s="16" t="n"/>
      <c r="E373" s="17" t="n"/>
    </row>
    <row r="374">
      <c r="A374" s="15" t="n"/>
      <c r="C374" s="16" t="n"/>
      <c r="D374" s="16" t="n"/>
      <c r="E374" s="17" t="n"/>
    </row>
    <row r="375">
      <c r="A375" s="15" t="n"/>
      <c r="C375" s="16" t="n"/>
      <c r="D375" s="16" t="n"/>
      <c r="E375" s="17" t="n"/>
    </row>
    <row r="376">
      <c r="A376" s="15" t="n"/>
      <c r="C376" s="16" t="n"/>
      <c r="D376" s="16" t="n"/>
      <c r="E376" s="17" t="n"/>
    </row>
    <row r="377">
      <c r="A377" s="15" t="n"/>
      <c r="C377" s="16" t="n"/>
      <c r="D377" s="16" t="n"/>
      <c r="E377" s="17" t="n"/>
    </row>
    <row r="378">
      <c r="A378" s="15" t="n"/>
      <c r="C378" s="16" t="n"/>
      <c r="D378" s="16" t="n"/>
      <c r="E378" s="17" t="n"/>
    </row>
    <row r="379">
      <c r="A379" s="15" t="n"/>
      <c r="C379" s="16" t="n"/>
      <c r="D379" s="16" t="n"/>
      <c r="E379" s="17" t="n"/>
    </row>
    <row r="380">
      <c r="A380" s="15" t="n"/>
      <c r="C380" s="16" t="n"/>
      <c r="D380" s="16" t="n"/>
      <c r="E380" s="17" t="n"/>
    </row>
    <row r="381">
      <c r="A381" s="15" t="n"/>
      <c r="C381" s="16" t="n"/>
      <c r="D381" s="16" t="n"/>
      <c r="E381" s="17" t="n"/>
    </row>
    <row r="382">
      <c r="A382" s="15" t="n"/>
      <c r="C382" s="16" t="n"/>
      <c r="D382" s="16" t="n"/>
      <c r="E382" s="17" t="n"/>
    </row>
    <row r="383">
      <c r="A383" s="15" t="n"/>
      <c r="C383" s="16" t="n"/>
      <c r="D383" s="16" t="n"/>
      <c r="E383" s="17" t="n"/>
    </row>
    <row r="384">
      <c r="A384" s="15" t="n"/>
      <c r="C384" s="16" t="n"/>
      <c r="D384" s="16" t="n"/>
      <c r="E384" s="17" t="n"/>
    </row>
    <row r="385">
      <c r="A385" s="15" t="n"/>
      <c r="C385" s="16" t="n"/>
      <c r="D385" s="16" t="n"/>
      <c r="E385" s="17" t="n"/>
    </row>
    <row r="386">
      <c r="A386" s="15" t="n"/>
      <c r="C386" s="16" t="n"/>
      <c r="D386" s="16" t="n"/>
      <c r="E386" s="17" t="n"/>
    </row>
    <row r="387">
      <c r="A387" s="15" t="n"/>
      <c r="C387" s="16" t="n"/>
      <c r="D387" s="16" t="n"/>
      <c r="E387" s="17" t="n"/>
    </row>
    <row r="388">
      <c r="A388" s="15" t="n"/>
      <c r="C388" s="16" t="n"/>
      <c r="D388" s="16" t="n"/>
      <c r="E388" s="17" t="n"/>
    </row>
    <row r="389">
      <c r="A389" s="15" t="n"/>
      <c r="C389" s="16" t="n"/>
      <c r="D389" s="16" t="n"/>
      <c r="E389" s="17" t="n"/>
    </row>
    <row r="390">
      <c r="A390" s="15" t="n"/>
      <c r="C390" s="16" t="n"/>
      <c r="D390" s="16" t="n"/>
      <c r="E390" s="17" t="n"/>
    </row>
    <row r="391">
      <c r="A391" s="15" t="n"/>
      <c r="C391" s="16" t="n"/>
      <c r="D391" s="16" t="n"/>
      <c r="E391" s="17" t="n"/>
    </row>
    <row r="392">
      <c r="A392" s="15" t="n"/>
      <c r="C392" s="16" t="n"/>
      <c r="D392" s="16" t="n"/>
      <c r="E392" s="17" t="n"/>
    </row>
    <row r="393">
      <c r="A393" s="15" t="n"/>
      <c r="C393" s="16" t="n"/>
      <c r="D393" s="16" t="n"/>
      <c r="E393" s="17" t="n"/>
    </row>
    <row r="394">
      <c r="A394" s="15" t="n"/>
      <c r="C394" s="16" t="n"/>
      <c r="D394" s="16" t="n"/>
      <c r="E394" s="17" t="n"/>
    </row>
    <row r="395">
      <c r="A395" s="15" t="n"/>
      <c r="C395" s="16" t="n"/>
      <c r="D395" s="16" t="n"/>
      <c r="E395" s="17" t="n"/>
    </row>
    <row r="396">
      <c r="A396" s="15" t="n"/>
      <c r="C396" s="16" t="n"/>
      <c r="D396" s="16" t="n"/>
      <c r="E396" s="17" t="n"/>
    </row>
    <row r="397">
      <c r="A397" s="15" t="n"/>
      <c r="C397" s="16" t="n"/>
      <c r="D397" s="16" t="n"/>
      <c r="E397" s="17" t="n"/>
    </row>
    <row r="398">
      <c r="A398" s="15" t="n"/>
      <c r="C398" s="16" t="n"/>
      <c r="D398" s="16" t="n"/>
      <c r="E398" s="17" t="n"/>
    </row>
    <row r="399">
      <c r="A399" s="15" t="n"/>
      <c r="C399" s="16" t="n"/>
      <c r="D399" s="16" t="n"/>
      <c r="E399" s="17" t="n"/>
    </row>
    <row r="400">
      <c r="A400" s="15" t="n"/>
      <c r="C400" s="16" t="n"/>
      <c r="D400" s="16" t="n"/>
      <c r="E400" s="17" t="n"/>
    </row>
    <row r="401">
      <c r="A401" s="15" t="n"/>
      <c r="C401" s="16" t="n"/>
      <c r="D401" s="16" t="n"/>
      <c r="E401" s="17" t="n"/>
    </row>
    <row r="402">
      <c r="A402" s="15" t="n"/>
      <c r="C402" s="16" t="n"/>
      <c r="D402" s="16" t="n"/>
      <c r="E402" s="17" t="n"/>
    </row>
    <row r="403">
      <c r="A403" s="15" t="n"/>
      <c r="C403" s="16" t="n"/>
      <c r="D403" s="16" t="n"/>
      <c r="E403" s="17" t="n"/>
    </row>
    <row r="404">
      <c r="A404" s="15" t="n"/>
      <c r="C404" s="16" t="n"/>
      <c r="D404" s="16" t="n"/>
      <c r="E404" s="17" t="n"/>
    </row>
    <row r="405">
      <c r="A405" s="15" t="n"/>
      <c r="C405" s="16" t="n"/>
      <c r="D405" s="16" t="n"/>
      <c r="E405" s="17" t="n"/>
    </row>
    <row r="406">
      <c r="A406" s="15" t="n"/>
      <c r="C406" s="16" t="n"/>
      <c r="D406" s="16" t="n"/>
      <c r="E406" s="17" t="n"/>
    </row>
    <row r="407">
      <c r="A407" s="15" t="n"/>
      <c r="C407" s="16" t="n"/>
      <c r="D407" s="16" t="n"/>
      <c r="E407" s="17" t="n"/>
    </row>
    <row r="408">
      <c r="A408" s="15" t="n"/>
      <c r="C408" s="16" t="n"/>
      <c r="D408" s="16" t="n"/>
      <c r="E408" s="17" t="n"/>
    </row>
    <row r="409">
      <c r="A409" s="15" t="n"/>
      <c r="C409" s="16" t="n"/>
      <c r="D409" s="16" t="n"/>
      <c r="E409" s="17" t="n"/>
    </row>
    <row r="410">
      <c r="A410" s="15" t="n"/>
      <c r="C410" s="16" t="n"/>
      <c r="D410" s="16" t="n"/>
      <c r="E410" s="17" t="n"/>
    </row>
    <row r="411">
      <c r="A411" s="15" t="n"/>
      <c r="C411" s="16" t="n"/>
      <c r="D411" s="16" t="n"/>
      <c r="E411" s="17" t="n"/>
    </row>
    <row r="412">
      <c r="A412" s="15" t="n"/>
      <c r="C412" s="16" t="n"/>
      <c r="D412" s="16" t="n"/>
      <c r="E412" s="17" t="n"/>
    </row>
    <row r="413">
      <c r="A413" s="15" t="n"/>
      <c r="C413" s="16" t="n"/>
      <c r="D413" s="16" t="n"/>
      <c r="E413" s="17" t="n"/>
    </row>
    <row r="414">
      <c r="A414" s="15" t="n"/>
      <c r="C414" s="16" t="n"/>
      <c r="D414" s="16" t="n"/>
      <c r="E414" s="17" t="n"/>
    </row>
    <row r="415">
      <c r="A415" s="15" t="n"/>
      <c r="C415" s="16" t="n"/>
      <c r="D415" s="16" t="n"/>
      <c r="E415" s="17" t="n"/>
    </row>
    <row r="416">
      <c r="A416" s="15" t="n"/>
      <c r="C416" s="16" t="n"/>
      <c r="D416" s="16" t="n"/>
      <c r="E416" s="17" t="n"/>
    </row>
    <row r="417">
      <c r="A417" s="15" t="n"/>
      <c r="C417" s="16" t="n"/>
      <c r="D417" s="16" t="n"/>
      <c r="E417" s="17" t="n"/>
    </row>
    <row r="418">
      <c r="A418" s="15" t="n"/>
      <c r="C418" s="16" t="n"/>
      <c r="D418" s="16" t="n"/>
      <c r="E418" s="17" t="n"/>
    </row>
    <row r="419">
      <c r="A419" s="15" t="n"/>
      <c r="C419" s="16" t="n"/>
      <c r="D419" s="16" t="n"/>
      <c r="E419" s="17" t="n"/>
    </row>
    <row r="420">
      <c r="A420" s="15" t="n"/>
      <c r="C420" s="16" t="n"/>
      <c r="D420" s="16" t="n"/>
      <c r="E420" s="17" t="n"/>
    </row>
    <row r="421">
      <c r="A421" s="15" t="n"/>
      <c r="C421" s="16" t="n"/>
      <c r="D421" s="16" t="n"/>
      <c r="E421" s="17" t="n"/>
    </row>
    <row r="422">
      <c r="A422" s="15" t="n"/>
      <c r="C422" s="16" t="n"/>
      <c r="D422" s="16" t="n"/>
      <c r="E422" s="17" t="n"/>
    </row>
    <row r="423">
      <c r="A423" s="15" t="n"/>
      <c r="C423" s="16" t="n"/>
      <c r="D423" s="16" t="n"/>
      <c r="E423" s="17" t="n"/>
    </row>
    <row r="424">
      <c r="A424" s="15" t="n"/>
      <c r="C424" s="16" t="n"/>
      <c r="D424" s="16" t="n"/>
      <c r="E424" s="17" t="n"/>
    </row>
    <row r="425">
      <c r="A425" s="15" t="n"/>
      <c r="C425" s="16" t="n"/>
      <c r="D425" s="16" t="n"/>
      <c r="E425" s="17" t="n"/>
    </row>
    <row r="426">
      <c r="A426" s="15" t="n"/>
      <c r="C426" s="16" t="n"/>
      <c r="D426" s="16" t="n"/>
      <c r="E426" s="17" t="n"/>
    </row>
    <row r="427">
      <c r="A427" s="15" t="n"/>
      <c r="C427" s="16" t="n"/>
      <c r="D427" s="16" t="n"/>
      <c r="E427" s="17" t="n"/>
    </row>
    <row r="428">
      <c r="A428" s="15" t="n"/>
      <c r="C428" s="16" t="n"/>
      <c r="D428" s="16" t="n"/>
      <c r="E428" s="17" t="n"/>
    </row>
    <row r="429">
      <c r="A429" s="15" t="n"/>
      <c r="C429" s="16" t="n"/>
      <c r="D429" s="16" t="n"/>
      <c r="E429" s="17" t="n"/>
    </row>
    <row r="430">
      <c r="A430" s="15" t="n"/>
      <c r="C430" s="16" t="n"/>
      <c r="D430" s="16" t="n"/>
      <c r="E430" s="17" t="n"/>
    </row>
    <row r="431">
      <c r="A431" s="15" t="n"/>
      <c r="C431" s="16" t="n"/>
      <c r="D431" s="16" t="n"/>
      <c r="E431" s="17" t="n"/>
    </row>
    <row r="432">
      <c r="A432" s="15" t="n"/>
      <c r="C432" s="16" t="n"/>
      <c r="D432" s="16" t="n"/>
      <c r="E432" s="17" t="n"/>
    </row>
    <row r="433">
      <c r="A433" s="15" t="n"/>
      <c r="C433" s="16" t="n"/>
      <c r="D433" s="16" t="n"/>
      <c r="E433" s="17" t="n"/>
    </row>
    <row r="434">
      <c r="A434" s="15" t="n"/>
      <c r="C434" s="16" t="n"/>
      <c r="D434" s="16" t="n"/>
      <c r="E434" s="17" t="n"/>
    </row>
    <row r="435">
      <c r="A435" s="15" t="n"/>
      <c r="C435" s="16" t="n"/>
      <c r="D435" s="16" t="n"/>
      <c r="E435" s="17" t="n"/>
    </row>
    <row r="436">
      <c r="A436" s="15" t="n"/>
      <c r="C436" s="16" t="n"/>
      <c r="D436" s="16" t="n"/>
      <c r="E436" s="17" t="n"/>
    </row>
    <row r="437">
      <c r="A437" s="15" t="n"/>
      <c r="C437" s="16" t="n"/>
      <c r="D437" s="16" t="n"/>
      <c r="E437" s="17" t="n"/>
    </row>
    <row r="438">
      <c r="A438" s="15" t="n"/>
      <c r="C438" s="16" t="n"/>
      <c r="D438" s="16" t="n"/>
      <c r="E438" s="17" t="n"/>
    </row>
    <row r="439">
      <c r="A439" s="15" t="n"/>
      <c r="C439" s="16" t="n"/>
      <c r="D439" s="16" t="n"/>
      <c r="E439" s="17" t="n"/>
    </row>
    <row r="440">
      <c r="A440" s="15" t="n"/>
      <c r="C440" s="16" t="n"/>
      <c r="D440" s="16" t="n"/>
      <c r="E440" s="17" t="n"/>
    </row>
    <row r="441">
      <c r="A441" s="15" t="n"/>
      <c r="C441" s="16" t="n"/>
      <c r="D441" s="16" t="n"/>
      <c r="E441" s="17" t="n"/>
    </row>
    <row r="442">
      <c r="A442" s="15" t="n"/>
      <c r="C442" s="16" t="n"/>
      <c r="D442" s="16" t="n"/>
      <c r="E442" s="17" t="n"/>
    </row>
    <row r="443">
      <c r="A443" s="15" t="n"/>
      <c r="C443" s="16" t="n"/>
      <c r="D443" s="16" t="n"/>
      <c r="E443" s="17" t="n"/>
    </row>
    <row r="444">
      <c r="A444" s="15" t="n"/>
      <c r="C444" s="16" t="n"/>
      <c r="D444" s="16" t="n"/>
      <c r="E444" s="17" t="n"/>
    </row>
    <row r="445">
      <c r="A445" s="15" t="n"/>
      <c r="C445" s="16" t="n"/>
      <c r="D445" s="16" t="n"/>
      <c r="E445" s="17" t="n"/>
    </row>
    <row r="446">
      <c r="A446" s="15" t="n"/>
      <c r="C446" s="16" t="n"/>
      <c r="D446" s="16" t="n"/>
      <c r="E446" s="17" t="n"/>
    </row>
    <row r="447">
      <c r="A447" s="15" t="n"/>
      <c r="C447" s="16" t="n"/>
      <c r="D447" s="16" t="n"/>
      <c r="E447" s="17" t="n"/>
    </row>
    <row r="448">
      <c r="A448" s="15" t="n"/>
      <c r="C448" s="16" t="n"/>
      <c r="D448" s="16" t="n"/>
      <c r="E448" s="17" t="n"/>
    </row>
    <row r="449">
      <c r="A449" s="15" t="n"/>
      <c r="C449" s="16" t="n"/>
      <c r="D449" s="16" t="n"/>
      <c r="E449" s="17" t="n"/>
    </row>
    <row r="450">
      <c r="A450" s="15" t="n"/>
      <c r="C450" s="16" t="n"/>
      <c r="D450" s="16" t="n"/>
      <c r="E450" s="17" t="n"/>
    </row>
    <row r="451">
      <c r="A451" s="15" t="n"/>
      <c r="C451" s="16" t="n"/>
      <c r="D451" s="16" t="n"/>
      <c r="E451" s="17" t="n"/>
    </row>
    <row r="452">
      <c r="A452" s="15" t="n"/>
      <c r="C452" s="16" t="n"/>
      <c r="D452" s="16" t="n"/>
      <c r="E452" s="17" t="n"/>
    </row>
    <row r="453">
      <c r="A453" s="15" t="n"/>
      <c r="C453" s="16" t="n"/>
      <c r="D453" s="16" t="n"/>
      <c r="E453" s="17" t="n"/>
    </row>
    <row r="454">
      <c r="A454" s="15" t="n"/>
      <c r="C454" s="16" t="n"/>
      <c r="D454" s="16" t="n"/>
      <c r="E454" s="17" t="n"/>
    </row>
    <row r="455">
      <c r="A455" s="15" t="n"/>
      <c r="C455" s="16" t="n"/>
      <c r="D455" s="16" t="n"/>
      <c r="E455" s="17" t="n"/>
    </row>
    <row r="456">
      <c r="A456" s="15" t="n"/>
      <c r="C456" s="16" t="n"/>
      <c r="D456" s="16" t="n"/>
      <c r="E456" s="17" t="n"/>
    </row>
    <row r="457">
      <c r="A457" s="15" t="n"/>
      <c r="C457" s="16" t="n"/>
      <c r="D457" s="16" t="n"/>
      <c r="E457" s="17" t="n"/>
    </row>
    <row r="458">
      <c r="A458" s="15" t="n"/>
      <c r="C458" s="16" t="n"/>
      <c r="D458" s="16" t="n"/>
      <c r="E458" s="17" t="n"/>
    </row>
    <row r="459">
      <c r="A459" s="15" t="n"/>
      <c r="C459" s="16" t="n"/>
      <c r="D459" s="16" t="n"/>
      <c r="E459" s="17" t="n"/>
    </row>
    <row r="460">
      <c r="A460" s="15" t="n"/>
      <c r="C460" s="16" t="n"/>
      <c r="D460" s="16" t="n"/>
      <c r="E460" s="17" t="n"/>
    </row>
    <row r="461">
      <c r="A461" s="15" t="n"/>
      <c r="C461" s="16" t="n"/>
      <c r="D461" s="16" t="n"/>
      <c r="E461" s="17" t="n"/>
    </row>
    <row r="462">
      <c r="A462" s="15" t="n"/>
      <c r="C462" s="16" t="n"/>
      <c r="D462" s="16" t="n"/>
      <c r="E462" s="17" t="n"/>
    </row>
    <row r="463">
      <c r="A463" s="15" t="n"/>
      <c r="C463" s="16" t="n"/>
      <c r="D463" s="16" t="n"/>
      <c r="E463" s="17" t="n"/>
    </row>
    <row r="464">
      <c r="A464" s="15" t="n"/>
      <c r="C464" s="16" t="n"/>
      <c r="D464" s="16" t="n"/>
      <c r="E464" s="17" t="n"/>
    </row>
    <row r="465">
      <c r="A465" s="15" t="n"/>
      <c r="C465" s="16" t="n"/>
      <c r="D465" s="16" t="n"/>
      <c r="E465" s="17" t="n"/>
    </row>
    <row r="466">
      <c r="A466" s="15" t="n"/>
      <c r="C466" s="16" t="n"/>
      <c r="D466" s="16" t="n"/>
      <c r="E466" s="17" t="n"/>
    </row>
    <row r="467">
      <c r="A467" s="15" t="n"/>
      <c r="C467" s="16" t="n"/>
      <c r="D467" s="16" t="n"/>
      <c r="E467" s="17" t="n"/>
    </row>
    <row r="468">
      <c r="A468" s="15" t="n"/>
      <c r="C468" s="16" t="n"/>
      <c r="D468" s="16" t="n"/>
      <c r="E468" s="17" t="n"/>
    </row>
    <row r="469">
      <c r="A469" s="15" t="n"/>
      <c r="C469" s="16" t="n"/>
      <c r="D469" s="16" t="n"/>
      <c r="E469" s="17" t="n"/>
    </row>
    <row r="470">
      <c r="A470" s="15" t="n"/>
      <c r="C470" s="16" t="n"/>
      <c r="D470" s="16" t="n"/>
      <c r="E470" s="17" t="n"/>
    </row>
    <row r="471">
      <c r="A471" s="15" t="n"/>
      <c r="C471" s="16" t="n"/>
      <c r="D471" s="16" t="n"/>
      <c r="E471" s="17" t="n"/>
    </row>
    <row r="472">
      <c r="A472" s="15" t="n"/>
      <c r="C472" s="16" t="n"/>
      <c r="D472" s="16" t="n"/>
      <c r="E472" s="17" t="n"/>
    </row>
    <row r="473">
      <c r="A473" s="15" t="n"/>
      <c r="C473" s="16" t="n"/>
      <c r="D473" s="16" t="n"/>
      <c r="E473" s="17" t="n"/>
    </row>
    <row r="474">
      <c r="A474" s="15" t="n"/>
      <c r="C474" s="16" t="n"/>
      <c r="D474" s="16" t="n"/>
      <c r="E474" s="17" t="n"/>
    </row>
    <row r="475">
      <c r="A475" s="15" t="n"/>
      <c r="C475" s="16" t="n"/>
      <c r="D475" s="16" t="n"/>
      <c r="E475" s="17" t="n"/>
    </row>
    <row r="476">
      <c r="A476" s="15" t="n"/>
      <c r="C476" s="16" t="n"/>
      <c r="D476" s="16" t="n"/>
      <c r="E476" s="17" t="n"/>
    </row>
    <row r="477">
      <c r="A477" s="15" t="n"/>
      <c r="C477" s="16" t="n"/>
      <c r="D477" s="16" t="n"/>
      <c r="E477" s="17" t="n"/>
    </row>
    <row r="478">
      <c r="A478" s="15" t="n"/>
      <c r="C478" s="16" t="n"/>
      <c r="D478" s="16" t="n"/>
      <c r="E478" s="17" t="n"/>
    </row>
    <row r="479">
      <c r="A479" s="15" t="n"/>
      <c r="C479" s="16" t="n"/>
      <c r="D479" s="16" t="n"/>
      <c r="E479" s="17" t="n"/>
    </row>
    <row r="480">
      <c r="A480" s="15" t="n"/>
      <c r="C480" s="16" t="n"/>
      <c r="D480" s="16" t="n"/>
      <c r="E480" s="17" t="n"/>
    </row>
    <row r="481">
      <c r="A481" s="15" t="n"/>
      <c r="C481" s="16" t="n"/>
      <c r="D481" s="16" t="n"/>
      <c r="E481" s="17" t="n"/>
    </row>
    <row r="482">
      <c r="A482" s="15" t="n"/>
      <c r="C482" s="16" t="n"/>
      <c r="D482" s="16" t="n"/>
      <c r="E482" s="17" t="n"/>
    </row>
    <row r="483">
      <c r="A483" s="15" t="n"/>
      <c r="C483" s="16" t="n"/>
      <c r="D483" s="16" t="n"/>
      <c r="E483" s="17" t="n"/>
    </row>
    <row r="484">
      <c r="A484" s="15" t="n"/>
      <c r="C484" s="16" t="n"/>
      <c r="D484" s="16" t="n"/>
      <c r="E484" s="17" t="n"/>
    </row>
    <row r="485">
      <c r="A485" s="15" t="n"/>
      <c r="C485" s="16" t="n"/>
      <c r="D485" s="16" t="n"/>
      <c r="E485" s="17" t="n"/>
    </row>
    <row r="486">
      <c r="A486" s="15" t="n"/>
      <c r="C486" s="16" t="n"/>
      <c r="D486" s="16" t="n"/>
      <c r="E486" s="17" t="n"/>
    </row>
    <row r="487">
      <c r="A487" s="15" t="n"/>
      <c r="C487" s="16" t="n"/>
      <c r="D487" s="16" t="n"/>
      <c r="E487" s="17" t="n"/>
    </row>
    <row r="488">
      <c r="A488" s="15" t="n"/>
      <c r="C488" s="16" t="n"/>
      <c r="D488" s="16" t="n"/>
      <c r="E488" s="17" t="n"/>
    </row>
    <row r="489">
      <c r="A489" s="15" t="n"/>
      <c r="C489" s="16" t="n"/>
      <c r="D489" s="16" t="n"/>
      <c r="E489" s="17" t="n"/>
    </row>
    <row r="490">
      <c r="A490" s="15" t="n"/>
      <c r="C490" s="16" t="n"/>
      <c r="D490" s="16" t="n"/>
      <c r="E490" s="17" t="n"/>
    </row>
    <row r="491">
      <c r="A491" s="15" t="n"/>
      <c r="C491" s="16" t="n"/>
      <c r="D491" s="16" t="n"/>
      <c r="E491" s="17" t="n"/>
    </row>
    <row r="492">
      <c r="A492" s="15" t="n"/>
      <c r="C492" s="16" t="n"/>
      <c r="D492" s="16" t="n"/>
      <c r="E492" s="17" t="n"/>
    </row>
    <row r="493">
      <c r="A493" s="15" t="n"/>
      <c r="C493" s="16" t="n"/>
      <c r="D493" s="16" t="n"/>
      <c r="E493" s="17" t="n"/>
    </row>
    <row r="494">
      <c r="A494" s="15" t="n"/>
      <c r="C494" s="16" t="n"/>
      <c r="D494" s="16" t="n"/>
      <c r="E494" s="17" t="n"/>
    </row>
    <row r="495">
      <c r="A495" s="15" t="n"/>
      <c r="C495" s="16" t="n"/>
      <c r="D495" s="16" t="n"/>
      <c r="E495" s="17" t="n"/>
    </row>
    <row r="496">
      <c r="A496" s="15" t="n"/>
      <c r="C496" s="16" t="n"/>
      <c r="D496" s="16" t="n"/>
      <c r="E496" s="17" t="n"/>
    </row>
    <row r="497">
      <c r="A497" s="15" t="n"/>
      <c r="C497" s="16" t="n"/>
      <c r="D497" s="16" t="n"/>
      <c r="E497" s="17" t="n"/>
    </row>
    <row r="498">
      <c r="A498" s="15" t="n"/>
      <c r="C498" s="16" t="n"/>
      <c r="D498" s="16" t="n"/>
      <c r="E498" s="17" t="n"/>
    </row>
    <row r="499">
      <c r="A499" s="15" t="n"/>
      <c r="C499" s="16" t="n"/>
      <c r="D499" s="16" t="n"/>
      <c r="E499" s="17" t="n"/>
    </row>
    <row r="500">
      <c r="A500" s="15" t="n"/>
      <c r="C500" s="16" t="n"/>
      <c r="D500" s="16" t="n"/>
      <c r="E500" s="17" t="n"/>
    </row>
    <row r="501">
      <c r="A501" s="15" t="n"/>
      <c r="C501" s="16" t="n"/>
      <c r="D501" s="16" t="n"/>
      <c r="E501" s="17" t="n"/>
    </row>
    <row r="502">
      <c r="A502" s="15" t="n"/>
      <c r="C502" s="16" t="n"/>
      <c r="D502" s="16" t="n"/>
      <c r="E502" s="17" t="n"/>
    </row>
    <row r="503">
      <c r="A503" s="15" t="n"/>
      <c r="C503" s="16" t="n"/>
      <c r="D503" s="16" t="n"/>
      <c r="E503" s="17" t="n"/>
    </row>
    <row r="504">
      <c r="A504" s="15" t="n"/>
      <c r="C504" s="16" t="n"/>
      <c r="D504" s="16" t="n"/>
      <c r="E504" s="17" t="n"/>
    </row>
    <row r="505">
      <c r="A505" s="15" t="n"/>
      <c r="C505" s="16" t="n"/>
      <c r="D505" s="16" t="n"/>
      <c r="E505" s="17" t="n"/>
    </row>
    <row r="506">
      <c r="A506" s="15" t="n"/>
      <c r="C506" s="16" t="n"/>
      <c r="D506" s="16" t="n"/>
      <c r="E506" s="17" t="n"/>
    </row>
    <row r="507">
      <c r="A507" s="15" t="n"/>
      <c r="C507" s="16" t="n"/>
      <c r="D507" s="16" t="n"/>
      <c r="E507" s="17" t="n"/>
    </row>
    <row r="508">
      <c r="A508" s="15" t="n"/>
      <c r="C508" s="16" t="n"/>
      <c r="D508" s="16" t="n"/>
      <c r="E508" s="17" t="n"/>
    </row>
    <row r="509">
      <c r="A509" s="15" t="n"/>
      <c r="C509" s="16" t="n"/>
      <c r="D509" s="16" t="n"/>
      <c r="E509" s="17" t="n"/>
    </row>
    <row r="510">
      <c r="A510" s="15" t="n"/>
      <c r="C510" s="16" t="n"/>
      <c r="D510" s="16" t="n"/>
      <c r="E510" s="17" t="n"/>
    </row>
    <row r="511">
      <c r="A511" s="15" t="n"/>
      <c r="C511" s="16" t="n"/>
      <c r="D511" s="16" t="n"/>
      <c r="E511" s="17" t="n"/>
    </row>
    <row r="512">
      <c r="A512" s="15" t="n"/>
      <c r="C512" s="16" t="n"/>
      <c r="D512" s="16" t="n"/>
      <c r="E512" s="17" t="n"/>
    </row>
    <row r="513">
      <c r="A513" s="15" t="n"/>
      <c r="C513" s="16" t="n"/>
      <c r="D513" s="16" t="n"/>
      <c r="E513" s="17" t="n"/>
    </row>
    <row r="514">
      <c r="A514" s="15" t="n"/>
      <c r="C514" s="16" t="n"/>
      <c r="D514" s="16" t="n"/>
      <c r="E514" s="17" t="n"/>
    </row>
    <row r="515">
      <c r="A515" s="15" t="n"/>
      <c r="C515" s="16" t="n"/>
      <c r="D515" s="16" t="n"/>
      <c r="E515" s="17" t="n"/>
    </row>
    <row r="516">
      <c r="A516" s="15" t="n"/>
      <c r="C516" s="16" t="n"/>
      <c r="D516" s="16" t="n"/>
      <c r="E516" s="17" t="n"/>
    </row>
    <row r="517">
      <c r="A517" s="15" t="n"/>
      <c r="C517" s="16" t="n"/>
      <c r="D517" s="16" t="n"/>
      <c r="E517" s="17" t="n"/>
    </row>
    <row r="518">
      <c r="A518" s="15" t="n"/>
      <c r="C518" s="16" t="n"/>
      <c r="D518" s="16" t="n"/>
      <c r="E518" s="17" t="n"/>
    </row>
    <row r="519">
      <c r="A519" s="15" t="n"/>
      <c r="C519" s="16" t="n"/>
      <c r="D519" s="16" t="n"/>
      <c r="E519" s="17" t="n"/>
    </row>
    <row r="520">
      <c r="A520" s="15" t="n"/>
      <c r="C520" s="16" t="n"/>
      <c r="D520" s="16" t="n"/>
      <c r="E520" s="17" t="n"/>
    </row>
    <row r="521">
      <c r="A521" s="15" t="n"/>
      <c r="C521" s="16" t="n"/>
      <c r="D521" s="16" t="n"/>
      <c r="E521" s="17" t="n"/>
    </row>
    <row r="522">
      <c r="A522" s="15" t="n"/>
      <c r="C522" s="16" t="n"/>
      <c r="D522" s="16" t="n"/>
      <c r="E522" s="17" t="n"/>
    </row>
    <row r="523">
      <c r="A523" s="15" t="n"/>
      <c r="C523" s="16" t="n"/>
      <c r="D523" s="16" t="n"/>
      <c r="E523" s="17" t="n"/>
    </row>
    <row r="524">
      <c r="A524" s="15" t="n"/>
      <c r="C524" s="16" t="n"/>
      <c r="D524" s="16" t="n"/>
      <c r="E524" s="17" t="n"/>
    </row>
    <row r="525">
      <c r="A525" s="15" t="n"/>
      <c r="C525" s="16" t="n"/>
      <c r="D525" s="16" t="n"/>
      <c r="E525" s="17" t="n"/>
    </row>
    <row r="526">
      <c r="A526" s="15" t="n"/>
      <c r="C526" s="16" t="n"/>
      <c r="D526" s="16" t="n"/>
      <c r="E526" s="17" t="n"/>
    </row>
    <row r="527">
      <c r="A527" s="15" t="n"/>
      <c r="C527" s="16" t="n"/>
      <c r="D527" s="16" t="n"/>
      <c r="E527" s="17" t="n"/>
    </row>
    <row r="528">
      <c r="A528" s="15" t="n"/>
      <c r="C528" s="16" t="n"/>
      <c r="D528" s="16" t="n"/>
      <c r="E528" s="17" t="n"/>
    </row>
    <row r="529">
      <c r="A529" s="15" t="n"/>
      <c r="C529" s="16" t="n"/>
      <c r="D529" s="16" t="n"/>
      <c r="E529" s="17" t="n"/>
    </row>
    <row r="530">
      <c r="A530" s="15" t="n"/>
      <c r="C530" s="16" t="n"/>
      <c r="D530" s="16" t="n"/>
      <c r="E530" s="17" t="n"/>
    </row>
    <row r="531">
      <c r="A531" s="15" t="n"/>
      <c r="C531" s="16" t="n"/>
      <c r="D531" s="16" t="n"/>
      <c r="E531" s="17" t="n"/>
    </row>
    <row r="532">
      <c r="A532" s="15" t="n"/>
      <c r="C532" s="16" t="n"/>
      <c r="D532" s="16" t="n"/>
      <c r="E532" s="17" t="n"/>
    </row>
    <row r="533">
      <c r="A533" s="15" t="n"/>
      <c r="C533" s="16" t="n"/>
      <c r="D533" s="16" t="n"/>
      <c r="E533" s="17" t="n"/>
    </row>
    <row r="534">
      <c r="A534" s="15" t="n"/>
      <c r="C534" s="16" t="n"/>
      <c r="D534" s="16" t="n"/>
      <c r="E534" s="17" t="n"/>
    </row>
    <row r="535">
      <c r="A535" s="15" t="n"/>
      <c r="C535" s="16" t="n"/>
      <c r="D535" s="16" t="n"/>
      <c r="E535" s="17" t="n"/>
    </row>
    <row r="536">
      <c r="A536" s="15" t="n"/>
      <c r="C536" s="16" t="n"/>
      <c r="D536" s="16" t="n"/>
      <c r="E536" s="17" t="n"/>
    </row>
    <row r="537">
      <c r="A537" s="15" t="n"/>
      <c r="C537" s="16" t="n"/>
      <c r="D537" s="16" t="n"/>
      <c r="E537" s="17" t="n"/>
    </row>
    <row r="538">
      <c r="A538" s="15" t="n"/>
      <c r="C538" s="16" t="n"/>
      <c r="D538" s="16" t="n"/>
      <c r="E538" s="17" t="n"/>
    </row>
    <row r="539">
      <c r="A539" s="15" t="n"/>
      <c r="C539" s="16" t="n"/>
      <c r="D539" s="16" t="n"/>
      <c r="E539" s="17" t="n"/>
    </row>
    <row r="540">
      <c r="A540" s="15" t="n"/>
      <c r="C540" s="16" t="n"/>
      <c r="D540" s="16" t="n"/>
      <c r="E540" s="17" t="n"/>
    </row>
    <row r="541">
      <c r="A541" s="15" t="n"/>
      <c r="C541" s="16" t="n"/>
      <c r="D541" s="16" t="n"/>
      <c r="E541" s="17" t="n"/>
    </row>
    <row r="542">
      <c r="A542" s="15" t="n"/>
      <c r="C542" s="16" t="n"/>
      <c r="D542" s="16" t="n"/>
      <c r="E542" s="17" t="n"/>
    </row>
    <row r="543">
      <c r="A543" s="15" t="n"/>
      <c r="C543" s="16" t="n"/>
      <c r="D543" s="16" t="n"/>
      <c r="E543" s="17" t="n"/>
    </row>
    <row r="544">
      <c r="A544" s="15" t="n"/>
      <c r="C544" s="16" t="n"/>
      <c r="D544" s="16" t="n"/>
      <c r="E544" s="17" t="n"/>
    </row>
    <row r="545">
      <c r="A545" s="15" t="n"/>
      <c r="C545" s="16" t="n"/>
      <c r="D545" s="16" t="n"/>
      <c r="E545" s="17" t="n"/>
    </row>
    <row r="546">
      <c r="A546" s="15" t="n"/>
      <c r="C546" s="16" t="n"/>
      <c r="D546" s="16" t="n"/>
      <c r="E546" s="17" t="n"/>
    </row>
    <row r="547">
      <c r="A547" s="15" t="n"/>
      <c r="C547" s="16" t="n"/>
      <c r="D547" s="16" t="n"/>
      <c r="E547" s="17" t="n"/>
    </row>
    <row r="548">
      <c r="A548" s="15" t="n"/>
      <c r="C548" s="16" t="n"/>
      <c r="D548" s="16" t="n"/>
      <c r="E548" s="17" t="n"/>
    </row>
    <row r="549">
      <c r="A549" s="15" t="n"/>
      <c r="C549" s="16" t="n"/>
      <c r="D549" s="16" t="n"/>
      <c r="E549" s="17" t="n"/>
    </row>
    <row r="550">
      <c r="A550" s="15" t="n"/>
      <c r="C550" s="16" t="n"/>
      <c r="D550" s="16" t="n"/>
      <c r="E550" s="17" t="n"/>
    </row>
    <row r="551">
      <c r="A551" s="15" t="n"/>
      <c r="C551" s="16" t="n"/>
      <c r="D551" s="16" t="n"/>
      <c r="E551" s="17" t="n"/>
    </row>
    <row r="552">
      <c r="A552" s="15" t="n"/>
      <c r="C552" s="16" t="n"/>
      <c r="D552" s="16" t="n"/>
      <c r="E552" s="17" t="n"/>
    </row>
    <row r="553">
      <c r="A553" s="15" t="n"/>
      <c r="C553" s="16" t="n"/>
      <c r="D553" s="16" t="n"/>
      <c r="E553" s="17" t="n"/>
    </row>
    <row r="554">
      <c r="A554" s="15" t="n"/>
      <c r="C554" s="16" t="n"/>
      <c r="D554" s="16" t="n"/>
      <c r="E554" s="17" t="n"/>
    </row>
    <row r="555">
      <c r="A555" s="15" t="n"/>
      <c r="C555" s="16" t="n"/>
      <c r="D555" s="16" t="n"/>
      <c r="E555" s="17" t="n"/>
    </row>
    <row r="556">
      <c r="A556" s="15" t="n"/>
      <c r="C556" s="16" t="n"/>
      <c r="D556" s="16" t="n"/>
      <c r="E556" s="17" t="n"/>
    </row>
    <row r="557">
      <c r="A557" s="15" t="n"/>
      <c r="C557" s="16" t="n"/>
      <c r="D557" s="16" t="n"/>
      <c r="E557" s="17" t="n"/>
    </row>
    <row r="558">
      <c r="A558" s="15" t="n"/>
      <c r="C558" s="16" t="n"/>
      <c r="D558" s="16" t="n"/>
      <c r="E558" s="17" t="n"/>
    </row>
    <row r="559">
      <c r="A559" s="15" t="n"/>
      <c r="C559" s="16" t="n"/>
      <c r="D559" s="16" t="n"/>
      <c r="E559" s="17" t="n"/>
    </row>
    <row r="560">
      <c r="A560" s="15" t="n"/>
      <c r="C560" s="16" t="n"/>
      <c r="D560" s="16" t="n"/>
      <c r="E560" s="17" t="n"/>
    </row>
    <row r="561">
      <c r="A561" s="15" t="n"/>
      <c r="C561" s="16" t="n"/>
      <c r="D561" s="16" t="n"/>
      <c r="E561" s="17" t="n"/>
    </row>
    <row r="562">
      <c r="A562" s="15" t="n"/>
      <c r="C562" s="16" t="n"/>
      <c r="D562" s="16" t="n"/>
      <c r="E562" s="17" t="n"/>
    </row>
    <row r="563">
      <c r="A563" s="15" t="n"/>
      <c r="C563" s="16" t="n"/>
      <c r="D563" s="16" t="n"/>
      <c r="E563" s="17" t="n"/>
    </row>
    <row r="564">
      <c r="A564" s="15" t="n"/>
      <c r="C564" s="16" t="n"/>
      <c r="D564" s="16" t="n"/>
      <c r="E564" s="17" t="n"/>
    </row>
    <row r="565">
      <c r="A565" s="15" t="n"/>
      <c r="C565" s="16" t="n"/>
      <c r="D565" s="16" t="n"/>
      <c r="E565" s="17" t="n"/>
    </row>
    <row r="566">
      <c r="A566" s="15" t="n"/>
      <c r="C566" s="16" t="n"/>
      <c r="D566" s="16" t="n"/>
      <c r="E566" s="17" t="n"/>
    </row>
    <row r="567">
      <c r="A567" s="15" t="n"/>
      <c r="C567" s="16" t="n"/>
      <c r="D567" s="16" t="n"/>
      <c r="E567" s="17" t="n"/>
    </row>
    <row r="568">
      <c r="A568" s="15" t="n"/>
      <c r="C568" s="16" t="n"/>
      <c r="D568" s="16" t="n"/>
      <c r="E568" s="17" t="n"/>
    </row>
    <row r="569">
      <c r="A569" s="15" t="n"/>
      <c r="C569" s="16" t="n"/>
      <c r="D569" s="16" t="n"/>
      <c r="E569" s="17" t="n"/>
    </row>
    <row r="570">
      <c r="A570" s="15" t="n"/>
      <c r="C570" s="16" t="n"/>
      <c r="D570" s="16" t="n"/>
      <c r="E570" s="17" t="n"/>
    </row>
    <row r="571">
      <c r="A571" s="15" t="n"/>
      <c r="C571" s="16" t="n"/>
      <c r="D571" s="16" t="n"/>
      <c r="E571" s="17" t="n"/>
    </row>
    <row r="572">
      <c r="A572" s="15" t="n"/>
      <c r="C572" s="16" t="n"/>
      <c r="D572" s="16" t="n"/>
      <c r="E572" s="17" t="n"/>
    </row>
    <row r="573">
      <c r="A573" s="15" t="n"/>
      <c r="C573" s="16" t="n"/>
      <c r="D573" s="16" t="n"/>
      <c r="E573" s="17" t="n"/>
    </row>
    <row r="574">
      <c r="A574" s="15" t="n"/>
      <c r="C574" s="16" t="n"/>
      <c r="D574" s="16" t="n"/>
      <c r="E574" s="17" t="n"/>
    </row>
    <row r="575">
      <c r="A575" s="15" t="n"/>
      <c r="C575" s="16" t="n"/>
      <c r="D575" s="16" t="n"/>
      <c r="E575" s="17" t="n"/>
    </row>
    <row r="576">
      <c r="A576" s="15" t="n"/>
      <c r="C576" s="16" t="n"/>
      <c r="D576" s="16" t="n"/>
      <c r="E576" s="17" t="n"/>
    </row>
    <row r="577">
      <c r="A577" s="15" t="n"/>
      <c r="C577" s="16" t="n"/>
      <c r="D577" s="16" t="n"/>
      <c r="E577" s="17" t="n"/>
    </row>
    <row r="578">
      <c r="A578" s="15" t="n"/>
      <c r="C578" s="16" t="n"/>
      <c r="D578" s="16" t="n"/>
      <c r="E578" s="17" t="n"/>
    </row>
    <row r="579">
      <c r="A579" s="15" t="n"/>
      <c r="C579" s="16" t="n"/>
      <c r="D579" s="16" t="n"/>
      <c r="E579" s="17" t="n"/>
    </row>
    <row r="580">
      <c r="A580" s="15" t="n"/>
      <c r="C580" s="16" t="n"/>
      <c r="D580" s="16" t="n"/>
      <c r="E580" s="17" t="n"/>
    </row>
    <row r="581">
      <c r="A581" s="15" t="n"/>
      <c r="C581" s="16" t="n"/>
      <c r="D581" s="16" t="n"/>
      <c r="E581" s="17" t="n"/>
    </row>
    <row r="582">
      <c r="A582" s="15" t="n"/>
      <c r="C582" s="16" t="n"/>
      <c r="D582" s="16" t="n"/>
      <c r="E582" s="17" t="n"/>
    </row>
    <row r="583">
      <c r="A583" s="15" t="n"/>
      <c r="C583" s="16" t="n"/>
      <c r="D583" s="16" t="n"/>
      <c r="E583" s="17" t="n"/>
    </row>
    <row r="584">
      <c r="A584" s="15" t="n"/>
      <c r="C584" s="16" t="n"/>
      <c r="D584" s="16" t="n"/>
      <c r="E584" s="17" t="n"/>
    </row>
    <row r="585">
      <c r="A585" s="15" t="n"/>
      <c r="C585" s="16" t="n"/>
      <c r="D585" s="16" t="n"/>
      <c r="E585" s="17" t="n"/>
    </row>
    <row r="586">
      <c r="A586" s="15" t="n"/>
      <c r="C586" s="16" t="n"/>
      <c r="D586" s="16" t="n"/>
      <c r="E586" s="17" t="n"/>
    </row>
    <row r="587">
      <c r="A587" s="15" t="n"/>
      <c r="C587" s="16" t="n"/>
      <c r="D587" s="16" t="n"/>
      <c r="E587" s="17" t="n"/>
    </row>
    <row r="588">
      <c r="A588" s="15" t="n"/>
      <c r="C588" s="16" t="n"/>
      <c r="D588" s="16" t="n"/>
      <c r="E588" s="17" t="n"/>
    </row>
    <row r="589">
      <c r="A589" s="15" t="n"/>
      <c r="C589" s="16" t="n"/>
      <c r="D589" s="16" t="n"/>
      <c r="E589" s="17" t="n"/>
    </row>
    <row r="590">
      <c r="A590" s="15" t="n"/>
      <c r="C590" s="16" t="n"/>
      <c r="D590" s="16" t="n"/>
      <c r="E590" s="17" t="n"/>
    </row>
    <row r="591">
      <c r="A591" s="15" t="n"/>
      <c r="C591" s="16" t="n"/>
      <c r="D591" s="16" t="n"/>
      <c r="E591" s="17" t="n"/>
    </row>
    <row r="592">
      <c r="A592" s="15" t="n"/>
      <c r="C592" s="16" t="n"/>
      <c r="D592" s="16" t="n"/>
      <c r="E592" s="17" t="n"/>
    </row>
    <row r="593">
      <c r="A593" s="15" t="n"/>
      <c r="C593" s="16" t="n"/>
      <c r="D593" s="16" t="n"/>
      <c r="E593" s="17" t="n"/>
    </row>
    <row r="594">
      <c r="A594" s="15" t="n"/>
      <c r="C594" s="16" t="n"/>
      <c r="D594" s="16" t="n"/>
      <c r="E594" s="17" t="n"/>
    </row>
    <row r="595">
      <c r="A595" s="15" t="n"/>
      <c r="C595" s="16" t="n"/>
      <c r="D595" s="16" t="n"/>
      <c r="E595" s="17" t="n"/>
    </row>
    <row r="596">
      <c r="A596" s="15" t="n"/>
      <c r="C596" s="16" t="n"/>
      <c r="D596" s="16" t="n"/>
      <c r="E596" s="17" t="n"/>
    </row>
    <row r="597">
      <c r="A597" s="15" t="n"/>
      <c r="C597" s="16" t="n"/>
      <c r="D597" s="16" t="n"/>
      <c r="E597" s="17" t="n"/>
    </row>
    <row r="598">
      <c r="A598" s="15" t="n"/>
      <c r="C598" s="16" t="n"/>
      <c r="D598" s="16" t="n"/>
      <c r="E598" s="17" t="n"/>
    </row>
    <row r="599">
      <c r="A599" s="15" t="n"/>
      <c r="C599" s="16" t="n"/>
      <c r="D599" s="16" t="n"/>
      <c r="E599" s="17" t="n"/>
    </row>
    <row r="600">
      <c r="A600" s="15" t="n"/>
      <c r="C600" s="16" t="n"/>
      <c r="D600" s="16" t="n"/>
      <c r="E600" s="17" t="n"/>
    </row>
    <row r="601">
      <c r="A601" s="15" t="n"/>
      <c r="C601" s="16" t="n"/>
      <c r="D601" s="16" t="n"/>
      <c r="E601" s="17" t="n"/>
    </row>
    <row r="602">
      <c r="A602" s="15" t="n"/>
      <c r="C602" s="16" t="n"/>
      <c r="D602" s="16" t="n"/>
      <c r="E602" s="17" t="n"/>
    </row>
    <row r="603">
      <c r="A603" s="15" t="n"/>
      <c r="C603" s="16" t="n"/>
      <c r="D603" s="16" t="n"/>
      <c r="E603" s="17" t="n"/>
    </row>
    <row r="604">
      <c r="A604" s="15" t="n"/>
      <c r="C604" s="16" t="n"/>
      <c r="D604" s="16" t="n"/>
      <c r="E604" s="17" t="n"/>
    </row>
    <row r="605">
      <c r="A605" s="15" t="n"/>
      <c r="C605" s="16" t="n"/>
      <c r="D605" s="16" t="n"/>
      <c r="E605" s="17" t="n"/>
    </row>
    <row r="606">
      <c r="A606" s="15" t="n"/>
      <c r="C606" s="16" t="n"/>
      <c r="D606" s="16" t="n"/>
      <c r="E606" s="17" t="n"/>
    </row>
    <row r="607">
      <c r="A607" s="15" t="n"/>
      <c r="C607" s="16" t="n"/>
      <c r="D607" s="16" t="n"/>
      <c r="E607" s="17" t="n"/>
    </row>
    <row r="608">
      <c r="A608" s="15" t="n"/>
      <c r="C608" s="16" t="n"/>
      <c r="D608" s="16" t="n"/>
      <c r="E608" s="17" t="n"/>
    </row>
    <row r="609">
      <c r="A609" s="15" t="n"/>
      <c r="C609" s="16" t="n"/>
      <c r="D609" s="16" t="n"/>
      <c r="E609" s="17" t="n"/>
    </row>
    <row r="610">
      <c r="A610" s="15" t="n"/>
      <c r="C610" s="16" t="n"/>
      <c r="D610" s="16" t="n"/>
      <c r="E610" s="17" t="n"/>
    </row>
    <row r="611">
      <c r="A611" s="15" t="n"/>
      <c r="C611" s="16" t="n"/>
      <c r="D611" s="16" t="n"/>
      <c r="E611" s="17" t="n"/>
    </row>
    <row r="612">
      <c r="A612" s="15" t="n"/>
      <c r="C612" s="16" t="n"/>
      <c r="D612" s="16" t="n"/>
      <c r="E612" s="17" t="n"/>
    </row>
    <row r="613">
      <c r="A613" s="15" t="n"/>
      <c r="C613" s="16" t="n"/>
      <c r="D613" s="16" t="n"/>
      <c r="E613" s="17" t="n"/>
    </row>
    <row r="614">
      <c r="A614" s="15" t="n"/>
      <c r="C614" s="16" t="n"/>
      <c r="D614" s="16" t="n"/>
      <c r="E614" s="17" t="n"/>
    </row>
    <row r="615">
      <c r="A615" s="15" t="n"/>
      <c r="C615" s="16" t="n"/>
      <c r="D615" s="16" t="n"/>
      <c r="E615" s="17" t="n"/>
    </row>
    <row r="616">
      <c r="A616" s="15" t="n"/>
      <c r="C616" s="16" t="n"/>
      <c r="D616" s="16" t="n"/>
      <c r="E616" s="17" t="n"/>
    </row>
    <row r="617">
      <c r="A617" s="15" t="n"/>
      <c r="C617" s="16" t="n"/>
      <c r="D617" s="16" t="n"/>
      <c r="E617" s="17" t="n"/>
    </row>
    <row r="618">
      <c r="A618" s="15" t="n"/>
      <c r="C618" s="16" t="n"/>
      <c r="D618" s="16" t="n"/>
      <c r="E618" s="17" t="n"/>
    </row>
    <row r="619">
      <c r="A619" s="15" t="n"/>
      <c r="C619" s="16" t="n"/>
      <c r="D619" s="16" t="n"/>
      <c r="E619" s="17" t="n"/>
    </row>
    <row r="620">
      <c r="A620" s="15" t="n"/>
      <c r="C620" s="16" t="n"/>
      <c r="D620" s="16" t="n"/>
      <c r="E620" s="17" t="n"/>
    </row>
    <row r="621">
      <c r="A621" s="15" t="n"/>
      <c r="C621" s="16" t="n"/>
      <c r="D621" s="16" t="n"/>
      <c r="E621" s="17" t="n"/>
    </row>
    <row r="622">
      <c r="A622" s="15" t="n"/>
      <c r="C622" s="16" t="n"/>
      <c r="D622" s="16" t="n"/>
      <c r="E622" s="17" t="n"/>
    </row>
    <row r="623">
      <c r="A623" s="15" t="n"/>
      <c r="C623" s="16" t="n"/>
      <c r="D623" s="16" t="n"/>
      <c r="E623" s="17" t="n"/>
    </row>
    <row r="624">
      <c r="A624" s="15" t="n"/>
      <c r="C624" s="16" t="n"/>
      <c r="D624" s="16" t="n"/>
      <c r="E624" s="17" t="n"/>
    </row>
    <row r="625">
      <c r="A625" s="15" t="n"/>
      <c r="C625" s="16" t="n"/>
      <c r="D625" s="16" t="n"/>
      <c r="E625" s="17" t="n"/>
    </row>
    <row r="626">
      <c r="A626" s="15" t="n"/>
      <c r="C626" s="16" t="n"/>
      <c r="D626" s="16" t="n"/>
      <c r="E626" s="17" t="n"/>
    </row>
    <row r="627">
      <c r="A627" s="15" t="n"/>
      <c r="C627" s="16" t="n"/>
      <c r="D627" s="16" t="n"/>
      <c r="E627" s="17" t="n"/>
    </row>
    <row r="628">
      <c r="A628" s="15" t="n"/>
      <c r="C628" s="16" t="n"/>
      <c r="D628" s="16" t="n"/>
      <c r="E628" s="17" t="n"/>
    </row>
    <row r="629">
      <c r="A629" s="15" t="n"/>
      <c r="C629" s="16" t="n"/>
      <c r="D629" s="16" t="n"/>
      <c r="E629" s="17" t="n"/>
    </row>
    <row r="630">
      <c r="A630" s="15" t="n"/>
      <c r="C630" s="16" t="n"/>
      <c r="D630" s="16" t="n"/>
      <c r="E630" s="17" t="n"/>
    </row>
    <row r="631">
      <c r="A631" s="15" t="n"/>
      <c r="C631" s="16" t="n"/>
      <c r="D631" s="16" t="n"/>
      <c r="E631" s="17" t="n"/>
    </row>
    <row r="632">
      <c r="A632" s="15" t="n"/>
      <c r="C632" s="16" t="n"/>
      <c r="D632" s="16" t="n"/>
      <c r="E632" s="17" t="n"/>
    </row>
    <row r="633">
      <c r="A633" s="15" t="n"/>
      <c r="C633" s="16" t="n"/>
      <c r="D633" s="16" t="n"/>
      <c r="E633" s="17" t="n"/>
    </row>
    <row r="634">
      <c r="A634" s="15" t="n"/>
      <c r="C634" s="16" t="n"/>
      <c r="D634" s="16" t="n"/>
      <c r="E634" s="17" t="n"/>
    </row>
    <row r="635">
      <c r="A635" s="15" t="n"/>
      <c r="C635" s="16" t="n"/>
      <c r="D635" s="16" t="n"/>
      <c r="E635" s="17" t="n"/>
    </row>
    <row r="636">
      <c r="A636" s="15" t="n"/>
      <c r="C636" s="16" t="n"/>
      <c r="D636" s="16" t="n"/>
      <c r="E636" s="17" t="n"/>
    </row>
    <row r="637">
      <c r="A637" s="15" t="n"/>
      <c r="C637" s="16" t="n"/>
      <c r="D637" s="16" t="n"/>
      <c r="E637" s="17" t="n"/>
    </row>
    <row r="638">
      <c r="A638" s="15" t="n"/>
      <c r="C638" s="16" t="n"/>
      <c r="D638" s="16" t="n"/>
      <c r="E638" s="17" t="n"/>
    </row>
    <row r="639">
      <c r="A639" s="15" t="n"/>
      <c r="C639" s="16" t="n"/>
      <c r="D639" s="16" t="n"/>
      <c r="E639" s="17" t="n"/>
    </row>
    <row r="640">
      <c r="A640" s="15" t="n"/>
      <c r="C640" s="16" t="n"/>
      <c r="D640" s="16" t="n"/>
      <c r="E640" s="17" t="n"/>
    </row>
    <row r="641">
      <c r="A641" s="15" t="n"/>
      <c r="C641" s="16" t="n"/>
      <c r="D641" s="16" t="n"/>
      <c r="E641" s="17" t="n"/>
    </row>
    <row r="642">
      <c r="A642" s="15" t="n"/>
      <c r="C642" s="16" t="n"/>
      <c r="D642" s="16" t="n"/>
      <c r="E642" s="17" t="n"/>
    </row>
    <row r="643">
      <c r="A643" s="15" t="n"/>
      <c r="C643" s="16" t="n"/>
      <c r="D643" s="16" t="n"/>
      <c r="E643" s="17" t="n"/>
    </row>
    <row r="644">
      <c r="A644" s="15" t="n"/>
      <c r="C644" s="16" t="n"/>
      <c r="D644" s="16" t="n"/>
      <c r="E644" s="17" t="n"/>
    </row>
    <row r="645">
      <c r="A645" s="15" t="n"/>
      <c r="C645" s="16" t="n"/>
      <c r="D645" s="16" t="n"/>
      <c r="E645" s="17" t="n"/>
    </row>
    <row r="646">
      <c r="A646" s="15" t="n"/>
      <c r="C646" s="16" t="n"/>
      <c r="D646" s="16" t="n"/>
      <c r="E646" s="17" t="n"/>
    </row>
    <row r="647">
      <c r="A647" s="15" t="n"/>
      <c r="C647" s="16" t="n"/>
      <c r="D647" s="16" t="n"/>
      <c r="E647" s="17" t="n"/>
    </row>
    <row r="648">
      <c r="A648" s="15" t="n"/>
      <c r="C648" s="16" t="n"/>
      <c r="D648" s="16" t="n"/>
      <c r="E648" s="17" t="n"/>
    </row>
    <row r="649">
      <c r="A649" s="15" t="n"/>
      <c r="C649" s="16" t="n"/>
      <c r="D649" s="16" t="n"/>
      <c r="E649" s="17" t="n"/>
    </row>
    <row r="650">
      <c r="A650" s="15" t="n"/>
      <c r="C650" s="16" t="n"/>
      <c r="D650" s="16" t="n"/>
      <c r="E650" s="17" t="n"/>
    </row>
    <row r="651">
      <c r="A651" s="15" t="n"/>
      <c r="C651" s="16" t="n"/>
      <c r="D651" s="16" t="n"/>
      <c r="E651" s="17" t="n"/>
    </row>
    <row r="652">
      <c r="A652" s="15" t="n"/>
      <c r="C652" s="16" t="n"/>
      <c r="D652" s="16" t="n"/>
      <c r="E652" s="17" t="n"/>
    </row>
    <row r="653">
      <c r="A653" s="15" t="n"/>
      <c r="C653" s="16" t="n"/>
      <c r="D653" s="16" t="n"/>
      <c r="E653" s="17" t="n"/>
    </row>
    <row r="654">
      <c r="A654" s="15" t="n"/>
      <c r="C654" s="16" t="n"/>
      <c r="D654" s="16" t="n"/>
      <c r="E654" s="17" t="n"/>
    </row>
    <row r="655">
      <c r="A655" s="15" t="n"/>
      <c r="C655" s="16" t="n"/>
      <c r="D655" s="16" t="n"/>
      <c r="E655" s="17" t="n"/>
    </row>
    <row r="656">
      <c r="A656" s="15" t="n"/>
      <c r="C656" s="16" t="n"/>
      <c r="D656" s="16" t="n"/>
      <c r="E656" s="17" t="n"/>
    </row>
    <row r="657">
      <c r="A657" s="15" t="n"/>
      <c r="C657" s="16" t="n"/>
      <c r="D657" s="16" t="n"/>
      <c r="E657" s="17" t="n"/>
    </row>
    <row r="658">
      <c r="A658" s="15" t="n"/>
      <c r="C658" s="16" t="n"/>
      <c r="D658" s="16" t="n"/>
      <c r="E658" s="17" t="n"/>
    </row>
    <row r="659">
      <c r="A659" s="15" t="n"/>
      <c r="C659" s="16" t="n"/>
      <c r="D659" s="16" t="n"/>
      <c r="E659" s="17" t="n"/>
    </row>
    <row r="660">
      <c r="A660" s="15" t="n"/>
      <c r="C660" s="16" t="n"/>
      <c r="D660" s="16" t="n"/>
      <c r="E660" s="17" t="n"/>
    </row>
    <row r="661">
      <c r="A661" s="15" t="n"/>
      <c r="C661" s="16" t="n"/>
      <c r="D661" s="16" t="n"/>
      <c r="E661" s="17" t="n"/>
    </row>
    <row r="662">
      <c r="A662" s="15" t="n"/>
      <c r="C662" s="16" t="n"/>
      <c r="D662" s="16" t="n"/>
      <c r="E662" s="17" t="n"/>
    </row>
    <row r="663">
      <c r="A663" s="15" t="n"/>
      <c r="C663" s="16" t="n"/>
      <c r="D663" s="16" t="n"/>
      <c r="E663" s="17" t="n"/>
    </row>
    <row r="664">
      <c r="A664" s="15" t="n"/>
      <c r="C664" s="16" t="n"/>
      <c r="D664" s="16" t="n"/>
      <c r="E664" s="17" t="n"/>
    </row>
    <row r="665">
      <c r="A665" s="15" t="n"/>
      <c r="C665" s="16" t="n"/>
      <c r="D665" s="16" t="n"/>
      <c r="E665" s="17" t="n"/>
    </row>
    <row r="666">
      <c r="A666" s="15" t="n"/>
      <c r="C666" s="16" t="n"/>
      <c r="D666" s="16" t="n"/>
      <c r="E666" s="17" t="n"/>
    </row>
    <row r="667">
      <c r="A667" s="15" t="n"/>
      <c r="C667" s="16" t="n"/>
      <c r="D667" s="16" t="n"/>
      <c r="E667" s="17" t="n"/>
    </row>
    <row r="668">
      <c r="A668" s="15" t="n"/>
      <c r="C668" s="16" t="n"/>
      <c r="D668" s="16" t="n"/>
      <c r="E668" s="17" t="n"/>
    </row>
    <row r="669">
      <c r="A669" s="15" t="n"/>
      <c r="C669" s="16" t="n"/>
      <c r="D669" s="16" t="n"/>
      <c r="E669" s="17" t="n"/>
    </row>
    <row r="670">
      <c r="A670" s="15" t="n"/>
      <c r="C670" s="16" t="n"/>
      <c r="D670" s="16" t="n"/>
      <c r="E670" s="17" t="n"/>
    </row>
    <row r="671">
      <c r="A671" s="15" t="n"/>
      <c r="C671" s="16" t="n"/>
      <c r="D671" s="16" t="n"/>
      <c r="E671" s="17" t="n"/>
    </row>
    <row r="672">
      <c r="A672" s="15" t="n"/>
      <c r="C672" s="16" t="n"/>
      <c r="D672" s="16" t="n"/>
      <c r="E672" s="17" t="n"/>
    </row>
    <row r="673">
      <c r="A673" s="15" t="n"/>
      <c r="C673" s="16" t="n"/>
      <c r="D673" s="16" t="n"/>
      <c r="E673" s="17" t="n"/>
    </row>
    <row r="674">
      <c r="A674" s="15" t="n"/>
      <c r="C674" s="16" t="n"/>
      <c r="D674" s="16" t="n"/>
      <c r="E674" s="17" t="n"/>
    </row>
    <row r="675">
      <c r="A675" s="15" t="n"/>
      <c r="C675" s="16" t="n"/>
      <c r="D675" s="16" t="n"/>
      <c r="E675" s="17" t="n"/>
    </row>
    <row r="676">
      <c r="A676" s="15" t="n"/>
      <c r="C676" s="16" t="n"/>
      <c r="D676" s="16" t="n"/>
      <c r="E676" s="17" t="n"/>
    </row>
    <row r="677">
      <c r="A677" s="15" t="n"/>
      <c r="C677" s="16" t="n"/>
      <c r="D677" s="16" t="n"/>
      <c r="E677" s="17" t="n"/>
    </row>
    <row r="678">
      <c r="A678" s="15" t="n"/>
      <c r="C678" s="16" t="n"/>
      <c r="D678" s="16" t="n"/>
      <c r="E678" s="17" t="n"/>
    </row>
    <row r="679">
      <c r="A679" s="15" t="n"/>
      <c r="C679" s="16" t="n"/>
      <c r="D679" s="16" t="n"/>
      <c r="E679" s="17" t="n"/>
    </row>
    <row r="680">
      <c r="A680" s="15" t="n"/>
      <c r="C680" s="16" t="n"/>
      <c r="D680" s="16" t="n"/>
      <c r="E680" s="17" t="n"/>
    </row>
    <row r="681">
      <c r="A681" s="15" t="n"/>
      <c r="C681" s="16" t="n"/>
      <c r="D681" s="16" t="n"/>
      <c r="E681" s="17" t="n"/>
    </row>
    <row r="682">
      <c r="A682" s="15" t="n"/>
      <c r="C682" s="16" t="n"/>
      <c r="D682" s="16" t="n"/>
      <c r="E682" s="17" t="n"/>
    </row>
    <row r="683">
      <c r="A683" s="15" t="n"/>
      <c r="C683" s="16" t="n"/>
      <c r="D683" s="16" t="n"/>
      <c r="E683" s="17" t="n"/>
    </row>
    <row r="684">
      <c r="A684" s="15" t="n"/>
      <c r="C684" s="16" t="n"/>
      <c r="D684" s="16" t="n"/>
      <c r="E684" s="17" t="n"/>
    </row>
    <row r="685">
      <c r="A685" s="15" t="n"/>
      <c r="C685" s="16" t="n"/>
      <c r="D685" s="16" t="n"/>
      <c r="E685" s="17" t="n"/>
    </row>
    <row r="686">
      <c r="A686" s="15" t="n"/>
      <c r="C686" s="16" t="n"/>
      <c r="D686" s="16" t="n"/>
      <c r="E686" s="17" t="n"/>
    </row>
    <row r="687">
      <c r="A687" s="15" t="n"/>
      <c r="C687" s="16" t="n"/>
      <c r="D687" s="16" t="n"/>
      <c r="E687" s="17" t="n"/>
    </row>
    <row r="688">
      <c r="A688" s="15" t="n"/>
      <c r="C688" s="16" t="n"/>
      <c r="D688" s="16" t="n"/>
      <c r="E688" s="17" t="n"/>
    </row>
    <row r="689">
      <c r="A689" s="15" t="n"/>
      <c r="C689" s="16" t="n"/>
      <c r="D689" s="16" t="n"/>
      <c r="E689" s="17" t="n"/>
    </row>
    <row r="690">
      <c r="A690" s="15" t="n"/>
      <c r="C690" s="16" t="n"/>
      <c r="D690" s="16" t="n"/>
      <c r="E690" s="17" t="n"/>
    </row>
    <row r="691">
      <c r="A691" s="15" t="n"/>
      <c r="C691" s="16" t="n"/>
      <c r="D691" s="16" t="n"/>
      <c r="E691" s="17" t="n"/>
    </row>
    <row r="692">
      <c r="A692" s="15" t="n"/>
      <c r="C692" s="16" t="n"/>
      <c r="D692" s="16" t="n"/>
      <c r="E692" s="17" t="n"/>
    </row>
    <row r="693">
      <c r="A693" s="15" t="n"/>
      <c r="C693" s="16" t="n"/>
      <c r="D693" s="16" t="n"/>
      <c r="E693" s="17" t="n"/>
    </row>
    <row r="694">
      <c r="A694" s="15" t="n"/>
      <c r="C694" s="16" t="n"/>
      <c r="D694" s="16" t="n"/>
      <c r="E694" s="17" t="n"/>
    </row>
    <row r="695">
      <c r="A695" s="15" t="n"/>
      <c r="C695" s="16" t="n"/>
      <c r="D695" s="16" t="n"/>
      <c r="E695" s="17" t="n"/>
    </row>
    <row r="696">
      <c r="A696" s="15" t="n"/>
      <c r="C696" s="16" t="n"/>
      <c r="D696" s="16" t="n"/>
      <c r="E696" s="17" t="n"/>
    </row>
    <row r="697">
      <c r="A697" s="15" t="n"/>
      <c r="C697" s="16" t="n"/>
      <c r="D697" s="16" t="n"/>
      <c r="E697" s="17" t="n"/>
    </row>
    <row r="698">
      <c r="A698" s="15" t="n"/>
      <c r="C698" s="16" t="n"/>
      <c r="D698" s="16" t="n"/>
      <c r="E698" s="17" t="n"/>
    </row>
    <row r="699">
      <c r="A699" s="15" t="n"/>
      <c r="C699" s="16" t="n"/>
      <c r="D699" s="16" t="n"/>
      <c r="E699" s="17" t="n"/>
    </row>
    <row r="700">
      <c r="A700" s="15" t="n"/>
      <c r="C700" s="16" t="n"/>
      <c r="D700" s="16" t="n"/>
      <c r="E700" s="17" t="n"/>
    </row>
    <row r="701">
      <c r="A701" s="15" t="n"/>
      <c r="C701" s="16" t="n"/>
      <c r="D701" s="16" t="n"/>
      <c r="E701" s="17" t="n"/>
    </row>
    <row r="702">
      <c r="A702" s="15" t="n"/>
      <c r="C702" s="16" t="n"/>
      <c r="D702" s="16" t="n"/>
      <c r="E702" s="17" t="n"/>
    </row>
    <row r="703">
      <c r="A703" s="15" t="n"/>
      <c r="C703" s="16" t="n"/>
      <c r="D703" s="16" t="n"/>
      <c r="E703" s="17" t="n"/>
    </row>
    <row r="704">
      <c r="A704" s="15" t="n"/>
      <c r="C704" s="16" t="n"/>
      <c r="D704" s="16" t="n"/>
      <c r="E704" s="17" t="n"/>
    </row>
    <row r="705">
      <c r="A705" s="15" t="n"/>
      <c r="C705" s="16" t="n"/>
      <c r="D705" s="16" t="n"/>
      <c r="E705" s="17" t="n"/>
    </row>
    <row r="706">
      <c r="A706" s="15" t="n"/>
      <c r="C706" s="16" t="n"/>
      <c r="D706" s="16" t="n"/>
      <c r="E706" s="17" t="n"/>
    </row>
    <row r="707">
      <c r="A707" s="15" t="n"/>
      <c r="C707" s="16" t="n"/>
      <c r="D707" s="16" t="n"/>
      <c r="E707" s="17" t="n"/>
    </row>
    <row r="708">
      <c r="A708" s="15" t="n"/>
      <c r="C708" s="16" t="n"/>
      <c r="D708" s="16" t="n"/>
      <c r="E708" s="17" t="n"/>
    </row>
    <row r="709">
      <c r="A709" s="15" t="n"/>
      <c r="C709" s="16" t="n"/>
      <c r="D709" s="16" t="n"/>
      <c r="E709" s="17" t="n"/>
    </row>
    <row r="710">
      <c r="A710" s="15" t="n"/>
      <c r="C710" s="16" t="n"/>
      <c r="D710" s="16" t="n"/>
      <c r="E710" s="17" t="n"/>
    </row>
    <row r="711">
      <c r="A711" s="15" t="n"/>
      <c r="C711" s="16" t="n"/>
      <c r="D711" s="16" t="n"/>
      <c r="E711" s="17" t="n"/>
    </row>
    <row r="712">
      <c r="A712" s="15" t="n"/>
      <c r="C712" s="16" t="n"/>
      <c r="D712" s="16" t="n"/>
      <c r="E712" s="17" t="n"/>
    </row>
    <row r="713">
      <c r="A713" s="15" t="n"/>
      <c r="C713" s="16" t="n"/>
      <c r="D713" s="16" t="n"/>
      <c r="E713" s="17" t="n"/>
    </row>
    <row r="714">
      <c r="A714" s="15" t="n"/>
      <c r="C714" s="16" t="n"/>
      <c r="D714" s="16" t="n"/>
      <c r="E714" s="17" t="n"/>
    </row>
    <row r="715">
      <c r="A715" s="15" t="n"/>
      <c r="C715" s="16" t="n"/>
      <c r="D715" s="16" t="n"/>
      <c r="E715" s="17" t="n"/>
    </row>
    <row r="716">
      <c r="A716" s="15" t="n"/>
      <c r="C716" s="16" t="n"/>
      <c r="D716" s="16" t="n"/>
      <c r="E716" s="17" t="n"/>
    </row>
    <row r="717">
      <c r="A717" s="15" t="n"/>
      <c r="C717" s="16" t="n"/>
      <c r="D717" s="16" t="n"/>
      <c r="E717" s="17" t="n"/>
    </row>
    <row r="718">
      <c r="A718" s="15" t="n"/>
      <c r="C718" s="16" t="n"/>
      <c r="D718" s="16" t="n"/>
      <c r="E718" s="17" t="n"/>
    </row>
    <row r="719">
      <c r="A719" s="15" t="n"/>
      <c r="C719" s="16" t="n"/>
      <c r="D719" s="16" t="n"/>
      <c r="E719" s="17" t="n"/>
    </row>
    <row r="720">
      <c r="A720" s="15" t="n"/>
      <c r="C720" s="16" t="n"/>
      <c r="D720" s="16" t="n"/>
      <c r="E720" s="17" t="n"/>
    </row>
    <row r="721">
      <c r="A721" s="15" t="n"/>
      <c r="C721" s="16" t="n"/>
      <c r="D721" s="16" t="n"/>
      <c r="E721" s="17" t="n"/>
    </row>
    <row r="722">
      <c r="A722" s="15" t="n"/>
      <c r="C722" s="16" t="n"/>
      <c r="D722" s="16" t="n"/>
      <c r="E722" s="17" t="n"/>
    </row>
    <row r="723">
      <c r="A723" s="15" t="n"/>
      <c r="C723" s="16" t="n"/>
      <c r="D723" s="16" t="n"/>
      <c r="E723" s="17" t="n"/>
    </row>
    <row r="724">
      <c r="A724" s="15" t="n"/>
      <c r="C724" s="16" t="n"/>
      <c r="D724" s="16" t="n"/>
      <c r="E724" s="17" t="n"/>
    </row>
    <row r="725">
      <c r="A725" s="15" t="n"/>
      <c r="C725" s="16" t="n"/>
      <c r="D725" s="16" t="n"/>
      <c r="E725" s="17" t="n"/>
    </row>
    <row r="726">
      <c r="A726" s="15" t="n"/>
      <c r="C726" s="16" t="n"/>
      <c r="D726" s="16" t="n"/>
      <c r="E726" s="17" t="n"/>
    </row>
    <row r="727">
      <c r="A727" s="15" t="n"/>
      <c r="C727" s="16" t="n"/>
      <c r="D727" s="16" t="n"/>
      <c r="E727" s="17" t="n"/>
    </row>
    <row r="728">
      <c r="A728" s="15" t="n"/>
      <c r="C728" s="16" t="n"/>
      <c r="D728" s="16" t="n"/>
      <c r="E728" s="17" t="n"/>
    </row>
    <row r="729">
      <c r="A729" s="15" t="n"/>
      <c r="C729" s="16" t="n"/>
      <c r="D729" s="16" t="n"/>
      <c r="E729" s="17" t="n"/>
    </row>
    <row r="730">
      <c r="A730" s="15" t="n"/>
      <c r="C730" s="16" t="n"/>
      <c r="D730" s="16" t="n"/>
      <c r="E730" s="17" t="n"/>
    </row>
    <row r="731">
      <c r="A731" s="15" t="n"/>
      <c r="C731" s="16" t="n"/>
      <c r="D731" s="16" t="n"/>
      <c r="E731" s="17" t="n"/>
    </row>
    <row r="732">
      <c r="A732" s="15" t="n"/>
      <c r="C732" s="16" t="n"/>
      <c r="D732" s="16" t="n"/>
      <c r="E732" s="17" t="n"/>
    </row>
    <row r="733">
      <c r="A733" s="15" t="n"/>
      <c r="C733" s="16" t="n"/>
      <c r="D733" s="16" t="n"/>
      <c r="E733" s="17" t="n"/>
    </row>
    <row r="734">
      <c r="A734" s="15" t="n"/>
      <c r="C734" s="16" t="n"/>
      <c r="D734" s="16" t="n"/>
      <c r="E734" s="17" t="n"/>
    </row>
    <row r="735">
      <c r="A735" s="15" t="n"/>
      <c r="C735" s="16" t="n"/>
      <c r="D735" s="16" t="n"/>
      <c r="E735" s="17" t="n"/>
    </row>
    <row r="736">
      <c r="A736" s="15" t="n"/>
      <c r="C736" s="16" t="n"/>
      <c r="D736" s="16" t="n"/>
      <c r="E736" s="17" t="n"/>
    </row>
    <row r="737">
      <c r="A737" s="15" t="n"/>
      <c r="C737" s="16" t="n"/>
      <c r="D737" s="16" t="n"/>
      <c r="E737" s="17" t="n"/>
    </row>
    <row r="738">
      <c r="A738" s="15" t="n"/>
      <c r="C738" s="16" t="n"/>
      <c r="D738" s="16" t="n"/>
      <c r="E738" s="17" t="n"/>
    </row>
    <row r="739">
      <c r="A739" s="15" t="n"/>
      <c r="C739" s="16" t="n"/>
      <c r="D739" s="16" t="n"/>
      <c r="E739" s="17" t="n"/>
    </row>
    <row r="740">
      <c r="A740" s="15" t="n"/>
      <c r="C740" s="16" t="n"/>
      <c r="D740" s="16" t="n"/>
      <c r="E740" s="17" t="n"/>
    </row>
    <row r="741">
      <c r="A741" s="15" t="n"/>
      <c r="C741" s="16" t="n"/>
      <c r="D741" s="16" t="n"/>
      <c r="E741" s="17" t="n"/>
    </row>
    <row r="742">
      <c r="A742" s="15" t="n"/>
      <c r="C742" s="16" t="n"/>
      <c r="D742" s="16" t="n"/>
      <c r="E742" s="17" t="n"/>
    </row>
    <row r="743">
      <c r="A743" s="15" t="n"/>
      <c r="C743" s="16" t="n"/>
      <c r="D743" s="16" t="n"/>
      <c r="E743" s="17" t="n"/>
    </row>
    <row r="744">
      <c r="A744" s="15" t="n"/>
      <c r="C744" s="16" t="n"/>
      <c r="D744" s="16" t="n"/>
      <c r="E744" s="17" t="n"/>
    </row>
    <row r="745">
      <c r="A745" s="15" t="n"/>
      <c r="C745" s="16" t="n"/>
      <c r="D745" s="16" t="n"/>
      <c r="E745" s="17" t="n"/>
    </row>
    <row r="746">
      <c r="A746" s="15" t="n"/>
      <c r="C746" s="16" t="n"/>
      <c r="D746" s="16" t="n"/>
      <c r="E746" s="17" t="n"/>
    </row>
    <row r="747">
      <c r="A747" s="15" t="n"/>
      <c r="C747" s="16" t="n"/>
      <c r="D747" s="16" t="n"/>
      <c r="E747" s="17" t="n"/>
    </row>
    <row r="748">
      <c r="A748" s="15" t="n"/>
      <c r="C748" s="16" t="n"/>
      <c r="D748" s="16" t="n"/>
      <c r="E748" s="17" t="n"/>
    </row>
    <row r="749">
      <c r="A749" s="15" t="n"/>
      <c r="C749" s="16" t="n"/>
      <c r="D749" s="16" t="n"/>
      <c r="E749" s="17" t="n"/>
    </row>
    <row r="750">
      <c r="A750" s="15" t="n"/>
      <c r="C750" s="16" t="n"/>
      <c r="D750" s="16" t="n"/>
      <c r="E750" s="17" t="n"/>
    </row>
    <row r="751">
      <c r="A751" s="15" t="n"/>
      <c r="C751" s="16" t="n"/>
      <c r="D751" s="16" t="n"/>
      <c r="E751" s="17" t="n"/>
    </row>
    <row r="752">
      <c r="A752" s="15" t="n"/>
      <c r="C752" s="16" t="n"/>
      <c r="D752" s="16" t="n"/>
      <c r="E752" s="17" t="n"/>
    </row>
    <row r="753">
      <c r="A753" s="15" t="n"/>
      <c r="C753" s="16" t="n"/>
      <c r="D753" s="16" t="n"/>
      <c r="E753" s="17" t="n"/>
    </row>
    <row r="754">
      <c r="A754" s="15" t="n"/>
      <c r="C754" s="16" t="n"/>
      <c r="D754" s="16" t="n"/>
      <c r="E754" s="17" t="n"/>
    </row>
    <row r="755">
      <c r="A755" s="15" t="n"/>
      <c r="C755" s="16" t="n"/>
      <c r="D755" s="16" t="n"/>
      <c r="E755" s="17" t="n"/>
    </row>
    <row r="756">
      <c r="A756" s="15" t="n"/>
      <c r="C756" s="16" t="n"/>
      <c r="D756" s="16" t="n"/>
      <c r="E756" s="17" t="n"/>
    </row>
    <row r="757">
      <c r="A757" s="15" t="n"/>
      <c r="C757" s="16" t="n"/>
      <c r="D757" s="16" t="n"/>
      <c r="E757" s="17" t="n"/>
    </row>
    <row r="758">
      <c r="A758" s="15" t="n"/>
      <c r="C758" s="16" t="n"/>
      <c r="D758" s="16" t="n"/>
      <c r="E758" s="17" t="n"/>
    </row>
    <row r="759">
      <c r="A759" s="15" t="n"/>
      <c r="C759" s="16" t="n"/>
      <c r="D759" s="16" t="n"/>
      <c r="E759" s="17" t="n"/>
    </row>
    <row r="760">
      <c r="A760" s="15" t="n"/>
      <c r="C760" s="16" t="n"/>
      <c r="D760" s="16" t="n"/>
      <c r="E760" s="17" t="n"/>
    </row>
    <row r="761">
      <c r="A761" s="15" t="n"/>
      <c r="C761" s="16" t="n"/>
      <c r="D761" s="16" t="n"/>
      <c r="E761" s="17" t="n"/>
    </row>
    <row r="762">
      <c r="A762" s="15" t="n"/>
      <c r="C762" s="16" t="n"/>
      <c r="D762" s="16" t="n"/>
      <c r="E762" s="17" t="n"/>
    </row>
    <row r="763">
      <c r="A763" s="15" t="n"/>
      <c r="C763" s="16" t="n"/>
      <c r="D763" s="16" t="n"/>
      <c r="E763" s="17" t="n"/>
    </row>
    <row r="764">
      <c r="A764" s="15" t="n"/>
      <c r="C764" s="16" t="n"/>
      <c r="D764" s="16" t="n"/>
      <c r="E764" s="17" t="n"/>
    </row>
    <row r="765">
      <c r="A765" s="15" t="n"/>
      <c r="C765" s="16" t="n"/>
      <c r="D765" s="16" t="n"/>
      <c r="E765" s="17" t="n"/>
    </row>
    <row r="766">
      <c r="A766" s="15" t="n"/>
      <c r="C766" s="16" t="n"/>
      <c r="D766" s="16" t="n"/>
      <c r="E766" s="17" t="n"/>
    </row>
    <row r="767">
      <c r="A767" s="15" t="n"/>
      <c r="C767" s="16" t="n"/>
      <c r="D767" s="16" t="n"/>
      <c r="E767" s="17" t="n"/>
    </row>
    <row r="768">
      <c r="A768" s="15" t="n"/>
      <c r="C768" s="16" t="n"/>
      <c r="D768" s="16" t="n"/>
      <c r="E768" s="17" t="n"/>
    </row>
    <row r="769">
      <c r="A769" s="15" t="n"/>
      <c r="C769" s="16" t="n"/>
      <c r="D769" s="16" t="n"/>
      <c r="E769" s="17" t="n"/>
    </row>
    <row r="770">
      <c r="A770" s="15" t="n"/>
      <c r="C770" s="16" t="n"/>
      <c r="D770" s="16" t="n"/>
      <c r="E770" s="17" t="n"/>
    </row>
    <row r="771">
      <c r="A771" s="15" t="n"/>
      <c r="C771" s="16" t="n"/>
      <c r="D771" s="16" t="n"/>
      <c r="E771" s="17" t="n"/>
    </row>
    <row r="772">
      <c r="A772" s="15" t="n"/>
      <c r="C772" s="16" t="n"/>
      <c r="D772" s="16" t="n"/>
      <c r="E772" s="17" t="n"/>
    </row>
    <row r="773">
      <c r="A773" s="15" t="n"/>
      <c r="C773" s="16" t="n"/>
      <c r="D773" s="16" t="n"/>
      <c r="E773" s="17" t="n"/>
    </row>
    <row r="774">
      <c r="A774" s="15" t="n"/>
      <c r="C774" s="16" t="n"/>
      <c r="D774" s="16" t="n"/>
      <c r="E774" s="17" t="n"/>
    </row>
    <row r="775">
      <c r="A775" s="15" t="n"/>
      <c r="C775" s="16" t="n"/>
      <c r="D775" s="16" t="n"/>
      <c r="E775" s="17" t="n"/>
    </row>
    <row r="776">
      <c r="A776" s="15" t="n"/>
      <c r="C776" s="16" t="n"/>
      <c r="D776" s="16" t="n"/>
      <c r="E776" s="17" t="n"/>
    </row>
    <row r="777">
      <c r="A777" s="15" t="n"/>
      <c r="C777" s="16" t="n"/>
      <c r="D777" s="16" t="n"/>
      <c r="E777" s="17" t="n"/>
    </row>
    <row r="778">
      <c r="A778" s="15" t="n"/>
      <c r="C778" s="16" t="n"/>
      <c r="D778" s="16" t="n"/>
      <c r="E778" s="17" t="n"/>
    </row>
    <row r="779">
      <c r="A779" s="15" t="n"/>
      <c r="C779" s="16" t="n"/>
      <c r="D779" s="16" t="n"/>
      <c r="E779" s="17" t="n"/>
    </row>
    <row r="780">
      <c r="A780" s="15" t="n"/>
      <c r="C780" s="16" t="n"/>
      <c r="D780" s="16" t="n"/>
      <c r="E780" s="17" t="n"/>
    </row>
    <row r="781">
      <c r="A781" s="15" t="n"/>
      <c r="C781" s="16" t="n"/>
      <c r="D781" s="16" t="n"/>
      <c r="E781" s="17" t="n"/>
    </row>
    <row r="782">
      <c r="A782" s="15" t="n"/>
      <c r="C782" s="16" t="n"/>
      <c r="D782" s="16" t="n"/>
      <c r="E782" s="17" t="n"/>
    </row>
    <row r="783">
      <c r="A783" s="15" t="n"/>
      <c r="C783" s="16" t="n"/>
      <c r="D783" s="16" t="n"/>
      <c r="E783" s="17" t="n"/>
    </row>
    <row r="784">
      <c r="A784" s="15" t="n"/>
      <c r="C784" s="16" t="n"/>
      <c r="D784" s="16" t="n"/>
      <c r="E784" s="17" t="n"/>
    </row>
    <row r="785">
      <c r="A785" s="15" t="n"/>
      <c r="C785" s="16" t="n"/>
      <c r="D785" s="16" t="n"/>
      <c r="E785" s="17" t="n"/>
    </row>
    <row r="786">
      <c r="A786" s="15" t="n"/>
      <c r="C786" s="16" t="n"/>
      <c r="D786" s="16" t="n"/>
      <c r="E786" s="17" t="n"/>
    </row>
    <row r="787">
      <c r="A787" s="15" t="n"/>
      <c r="C787" s="16" t="n"/>
      <c r="D787" s="16" t="n"/>
      <c r="E787" s="17" t="n"/>
    </row>
    <row r="788">
      <c r="A788" s="15" t="n"/>
      <c r="C788" s="16" t="n"/>
      <c r="D788" s="16" t="n"/>
      <c r="E788" s="17" t="n"/>
    </row>
    <row r="789">
      <c r="A789" s="15" t="n"/>
      <c r="C789" s="16" t="n"/>
      <c r="D789" s="16" t="n"/>
      <c r="E789" s="17" t="n"/>
    </row>
    <row r="790">
      <c r="A790" s="15" t="n"/>
      <c r="C790" s="16" t="n"/>
      <c r="D790" s="16" t="n"/>
      <c r="E790" s="17" t="n"/>
    </row>
    <row r="791">
      <c r="A791" s="15" t="n"/>
      <c r="C791" s="16" t="n"/>
      <c r="D791" s="16" t="n"/>
      <c r="E791" s="17" t="n"/>
    </row>
    <row r="792">
      <c r="A792" s="15" t="n"/>
      <c r="C792" s="16" t="n"/>
      <c r="D792" s="16" t="n"/>
      <c r="E792" s="17" t="n"/>
    </row>
    <row r="793">
      <c r="A793" s="15" t="n"/>
      <c r="C793" s="16" t="n"/>
      <c r="D793" s="16" t="n"/>
      <c r="E793" s="17" t="n"/>
    </row>
    <row r="794">
      <c r="A794" s="15" t="n"/>
      <c r="C794" s="16" t="n"/>
      <c r="D794" s="16" t="n"/>
      <c r="E794" s="17" t="n"/>
    </row>
    <row r="795">
      <c r="A795" s="15" t="n"/>
      <c r="C795" s="16" t="n"/>
      <c r="D795" s="16" t="n"/>
      <c r="E795" s="17" t="n"/>
    </row>
    <row r="796">
      <c r="A796" s="15" t="n"/>
      <c r="C796" s="16" t="n"/>
      <c r="D796" s="16" t="n"/>
      <c r="E796" s="17" t="n"/>
    </row>
    <row r="797">
      <c r="A797" s="15" t="n"/>
      <c r="C797" s="16" t="n"/>
      <c r="D797" s="16" t="n"/>
      <c r="E797" s="17" t="n"/>
    </row>
    <row r="798">
      <c r="A798" s="15" t="n"/>
      <c r="C798" s="16" t="n"/>
      <c r="D798" s="16" t="n"/>
      <c r="E798" s="17" t="n"/>
    </row>
    <row r="799">
      <c r="A799" s="15" t="n"/>
      <c r="C799" s="16" t="n"/>
      <c r="D799" s="16" t="n"/>
      <c r="E799" s="17" t="n"/>
    </row>
    <row r="800">
      <c r="A800" s="15" t="n"/>
      <c r="C800" s="16" t="n"/>
      <c r="D800" s="16" t="n"/>
      <c r="E800" s="17" t="n"/>
    </row>
    <row r="801">
      <c r="A801" s="15" t="n"/>
      <c r="C801" s="16" t="n"/>
      <c r="D801" s="16" t="n"/>
      <c r="E801" s="17" t="n"/>
    </row>
    <row r="802">
      <c r="A802" s="15" t="n"/>
      <c r="C802" s="16" t="n"/>
      <c r="D802" s="16" t="n"/>
      <c r="E802" s="17" t="n"/>
    </row>
    <row r="803">
      <c r="A803" s="15" t="n"/>
      <c r="C803" s="16" t="n"/>
      <c r="D803" s="16" t="n"/>
      <c r="E803" s="17" t="n"/>
    </row>
    <row r="804">
      <c r="A804" s="15" t="n"/>
      <c r="C804" s="16" t="n"/>
      <c r="D804" s="16" t="n"/>
      <c r="E804" s="17" t="n"/>
    </row>
    <row r="805">
      <c r="A805" s="15" t="n"/>
      <c r="C805" s="16" t="n"/>
      <c r="D805" s="16" t="n"/>
      <c r="E805" s="17" t="n"/>
    </row>
    <row r="806">
      <c r="A806" s="15" t="n"/>
      <c r="C806" s="16" t="n"/>
      <c r="D806" s="16" t="n"/>
      <c r="E806" s="17" t="n"/>
    </row>
    <row r="807">
      <c r="A807" s="15" t="n"/>
      <c r="C807" s="16" t="n"/>
      <c r="D807" s="16" t="n"/>
      <c r="E807" s="17" t="n"/>
    </row>
    <row r="808">
      <c r="A808" s="15" t="n"/>
      <c r="C808" s="16" t="n"/>
      <c r="D808" s="16" t="n"/>
      <c r="E808" s="17" t="n"/>
    </row>
    <row r="809">
      <c r="A809" s="15" t="n"/>
      <c r="C809" s="16" t="n"/>
      <c r="D809" s="16" t="n"/>
      <c r="E809" s="17" t="n"/>
    </row>
    <row r="810">
      <c r="A810" s="15" t="n"/>
      <c r="C810" s="16" t="n"/>
      <c r="D810" s="16" t="n"/>
      <c r="E810" s="17" t="n"/>
    </row>
    <row r="811">
      <c r="A811" s="15" t="n"/>
      <c r="C811" s="16" t="n"/>
      <c r="D811" s="16" t="n"/>
      <c r="E811" s="17" t="n"/>
    </row>
    <row r="812">
      <c r="A812" s="15" t="n"/>
      <c r="C812" s="16" t="n"/>
      <c r="D812" s="16" t="n"/>
      <c r="E812" s="17" t="n"/>
    </row>
    <row r="813">
      <c r="A813" s="15" t="n"/>
      <c r="C813" s="16" t="n"/>
      <c r="D813" s="16" t="n"/>
      <c r="E813" s="17" t="n"/>
    </row>
    <row r="814">
      <c r="A814" s="15" t="n"/>
      <c r="C814" s="16" t="n"/>
      <c r="D814" s="16" t="n"/>
      <c r="E814" s="17" t="n"/>
    </row>
    <row r="815">
      <c r="A815" s="15" t="n"/>
      <c r="C815" s="16" t="n"/>
      <c r="D815" s="16" t="n"/>
      <c r="E815" s="17" t="n"/>
    </row>
    <row r="816">
      <c r="A816" s="15" t="n"/>
      <c r="C816" s="16" t="n"/>
      <c r="D816" s="16" t="n"/>
      <c r="E816" s="17" t="n"/>
    </row>
    <row r="817">
      <c r="A817" s="15" t="n"/>
      <c r="C817" s="16" t="n"/>
      <c r="D817" s="16" t="n"/>
      <c r="E817" s="17" t="n"/>
    </row>
    <row r="818">
      <c r="A818" s="15" t="n"/>
      <c r="C818" s="16" t="n"/>
      <c r="D818" s="16" t="n"/>
      <c r="E818" s="17" t="n"/>
    </row>
    <row r="819">
      <c r="A819" s="15" t="n"/>
      <c r="C819" s="16" t="n"/>
      <c r="D819" s="16" t="n"/>
      <c r="E819" s="17" t="n"/>
    </row>
    <row r="820">
      <c r="A820" s="15" t="n"/>
      <c r="C820" s="16" t="n"/>
      <c r="D820" s="16" t="n"/>
      <c r="E820" s="17" t="n"/>
    </row>
    <row r="821">
      <c r="A821" s="15" t="n"/>
      <c r="C821" s="16" t="n"/>
      <c r="D821" s="16" t="n"/>
      <c r="E821" s="17" t="n"/>
    </row>
    <row r="822">
      <c r="A822" s="15" t="n"/>
      <c r="C822" s="16" t="n"/>
      <c r="D822" s="16" t="n"/>
      <c r="E822" s="17" t="n"/>
    </row>
    <row r="823">
      <c r="A823" s="15" t="n"/>
      <c r="C823" s="16" t="n"/>
      <c r="D823" s="16" t="n"/>
      <c r="E823" s="17" t="n"/>
    </row>
    <row r="824">
      <c r="A824" s="15" t="n"/>
      <c r="C824" s="16" t="n"/>
      <c r="D824" s="16" t="n"/>
      <c r="E824" s="17" t="n"/>
    </row>
    <row r="825">
      <c r="A825" s="15" t="n"/>
      <c r="C825" s="16" t="n"/>
      <c r="D825" s="16" t="n"/>
      <c r="E825" s="17" t="n"/>
    </row>
    <row r="826">
      <c r="A826" s="15" t="n"/>
      <c r="C826" s="16" t="n"/>
      <c r="D826" s="16" t="n"/>
      <c r="E826" s="17" t="n"/>
    </row>
    <row r="827">
      <c r="A827" s="15" t="n"/>
      <c r="C827" s="16" t="n"/>
      <c r="D827" s="16" t="n"/>
      <c r="E827" s="17" t="n"/>
    </row>
    <row r="828">
      <c r="A828" s="15" t="n"/>
      <c r="C828" s="16" t="n"/>
      <c r="D828" s="16" t="n"/>
      <c r="E828" s="17" t="n"/>
    </row>
    <row r="829">
      <c r="A829" s="15" t="n"/>
      <c r="C829" s="16" t="n"/>
      <c r="D829" s="16" t="n"/>
      <c r="E829" s="17" t="n"/>
    </row>
    <row r="830">
      <c r="A830" s="15" t="n"/>
      <c r="C830" s="16" t="n"/>
      <c r="D830" s="16" t="n"/>
      <c r="E830" s="17" t="n"/>
    </row>
    <row r="831">
      <c r="A831" s="15" t="n"/>
      <c r="C831" s="16" t="n"/>
      <c r="D831" s="16" t="n"/>
      <c r="E831" s="17" t="n"/>
    </row>
    <row r="832">
      <c r="A832" s="15" t="n"/>
      <c r="C832" s="16" t="n"/>
      <c r="D832" s="16" t="n"/>
      <c r="E832" s="17" t="n"/>
    </row>
    <row r="833">
      <c r="A833" s="15" t="n"/>
      <c r="C833" s="16" t="n"/>
      <c r="D833" s="16" t="n"/>
      <c r="E833" s="17" t="n"/>
    </row>
    <row r="834">
      <c r="A834" s="15" t="n"/>
      <c r="C834" s="16" t="n"/>
      <c r="D834" s="16" t="n"/>
      <c r="E834" s="17" t="n"/>
    </row>
    <row r="835">
      <c r="A835" s="15" t="n"/>
      <c r="C835" s="16" t="n"/>
      <c r="D835" s="16" t="n"/>
      <c r="E835" s="17" t="n"/>
    </row>
    <row r="836">
      <c r="A836" s="15" t="n"/>
      <c r="C836" s="16" t="n"/>
      <c r="D836" s="16" t="n"/>
      <c r="E836" s="17" t="n"/>
    </row>
    <row r="837">
      <c r="A837" s="15" t="n"/>
      <c r="C837" s="16" t="n"/>
      <c r="D837" s="16" t="n"/>
      <c r="E837" s="17" t="n"/>
    </row>
    <row r="838">
      <c r="A838" s="15" t="n"/>
      <c r="C838" s="16" t="n"/>
      <c r="D838" s="16" t="n"/>
      <c r="E838" s="17" t="n"/>
    </row>
    <row r="839">
      <c r="A839" s="15" t="n"/>
      <c r="C839" s="16" t="n"/>
      <c r="D839" s="16" t="n"/>
      <c r="E839" s="17" t="n"/>
    </row>
    <row r="840">
      <c r="A840" s="15" t="n"/>
      <c r="C840" s="16" t="n"/>
      <c r="D840" s="16" t="n"/>
      <c r="E840" s="17" t="n"/>
    </row>
    <row r="841">
      <c r="A841" s="15" t="n"/>
      <c r="C841" s="16" t="n"/>
      <c r="D841" s="16" t="n"/>
      <c r="E841" s="17" t="n"/>
    </row>
    <row r="842">
      <c r="A842" s="15" t="n"/>
      <c r="C842" s="16" t="n"/>
      <c r="D842" s="16" t="n"/>
      <c r="E842" s="17" t="n"/>
    </row>
    <row r="843">
      <c r="A843" s="15" t="n"/>
      <c r="C843" s="16" t="n"/>
      <c r="D843" s="16" t="n"/>
      <c r="E843" s="17" t="n"/>
    </row>
    <row r="844">
      <c r="A844" s="15" t="n"/>
      <c r="C844" s="16" t="n"/>
      <c r="D844" s="16" t="n"/>
      <c r="E844" s="17" t="n"/>
    </row>
    <row r="845">
      <c r="A845" s="15" t="n"/>
      <c r="C845" s="16" t="n"/>
      <c r="D845" s="16" t="n"/>
      <c r="E845" s="17" t="n"/>
    </row>
    <row r="846">
      <c r="A846" s="15" t="n"/>
      <c r="C846" s="16" t="n"/>
      <c r="D846" s="16" t="n"/>
      <c r="E846" s="17" t="n"/>
    </row>
    <row r="847">
      <c r="A847" s="15" t="n"/>
      <c r="C847" s="16" t="n"/>
      <c r="D847" s="16" t="n"/>
      <c r="E847" s="17" t="n"/>
    </row>
    <row r="848">
      <c r="A848" s="15" t="n"/>
      <c r="C848" s="16" t="n"/>
      <c r="D848" s="16" t="n"/>
      <c r="E848" s="17" t="n"/>
    </row>
    <row r="849">
      <c r="A849" s="15" t="n"/>
      <c r="C849" s="16" t="n"/>
      <c r="D849" s="16" t="n"/>
      <c r="E849" s="17" t="n"/>
    </row>
    <row r="850">
      <c r="A850" s="15" t="n"/>
      <c r="C850" s="16" t="n"/>
      <c r="D850" s="16" t="n"/>
      <c r="E850" s="17" t="n"/>
    </row>
    <row r="851">
      <c r="A851" s="15" t="n"/>
      <c r="C851" s="16" t="n"/>
      <c r="D851" s="16" t="n"/>
      <c r="E851" s="17" t="n"/>
    </row>
    <row r="852">
      <c r="A852" s="15" t="n"/>
      <c r="C852" s="16" t="n"/>
      <c r="D852" s="16" t="n"/>
      <c r="E852" s="17" t="n"/>
    </row>
    <row r="853">
      <c r="A853" s="15" t="n"/>
      <c r="C853" s="16" t="n"/>
      <c r="D853" s="16" t="n"/>
      <c r="E853" s="17" t="n"/>
    </row>
    <row r="854">
      <c r="A854" s="15" t="n"/>
      <c r="C854" s="16" t="n"/>
      <c r="D854" s="16" t="n"/>
      <c r="E854" s="17" t="n"/>
    </row>
    <row r="855">
      <c r="A855" s="15" t="n"/>
      <c r="C855" s="16" t="n"/>
      <c r="D855" s="16" t="n"/>
      <c r="E855" s="17" t="n"/>
    </row>
    <row r="856">
      <c r="A856" s="15" t="n"/>
      <c r="C856" s="16" t="n"/>
      <c r="D856" s="16" t="n"/>
      <c r="E856" s="17" t="n"/>
    </row>
    <row r="857">
      <c r="A857" s="15" t="n"/>
      <c r="C857" s="16" t="n"/>
      <c r="D857" s="16" t="n"/>
      <c r="E857" s="17" t="n"/>
    </row>
    <row r="858">
      <c r="A858" s="15" t="n"/>
      <c r="C858" s="16" t="n"/>
      <c r="D858" s="16" t="n"/>
      <c r="E858" s="17" t="n"/>
    </row>
    <row r="859">
      <c r="A859" s="15" t="n"/>
      <c r="C859" s="16" t="n"/>
      <c r="D859" s="16" t="n"/>
      <c r="E859" s="17" t="n"/>
    </row>
    <row r="860">
      <c r="A860" s="15" t="n"/>
      <c r="C860" s="16" t="n"/>
      <c r="D860" s="16" t="n"/>
      <c r="E860" s="17" t="n"/>
    </row>
    <row r="861">
      <c r="A861" s="15" t="n"/>
      <c r="C861" s="16" t="n"/>
      <c r="D861" s="16" t="n"/>
      <c r="E861" s="17" t="n"/>
    </row>
    <row r="862">
      <c r="A862" s="15" t="n"/>
      <c r="C862" s="16" t="n"/>
      <c r="D862" s="16" t="n"/>
      <c r="E862" s="17" t="n"/>
    </row>
    <row r="863">
      <c r="A863" s="15" t="n"/>
      <c r="C863" s="16" t="n"/>
      <c r="D863" s="16" t="n"/>
      <c r="E863" s="17" t="n"/>
    </row>
    <row r="864">
      <c r="A864" s="15" t="n"/>
      <c r="C864" s="16" t="n"/>
      <c r="D864" s="16" t="n"/>
      <c r="E864" s="17" t="n"/>
    </row>
    <row r="865">
      <c r="A865" s="15" t="n"/>
      <c r="C865" s="16" t="n"/>
      <c r="D865" s="16" t="n"/>
      <c r="E865" s="17" t="n"/>
    </row>
    <row r="866">
      <c r="A866" s="15" t="n"/>
      <c r="C866" s="16" t="n"/>
      <c r="D866" s="16" t="n"/>
      <c r="E866" s="17" t="n"/>
    </row>
    <row r="867">
      <c r="A867" s="15" t="n"/>
      <c r="C867" s="16" t="n"/>
      <c r="D867" s="16" t="n"/>
      <c r="E867" s="17" t="n"/>
    </row>
    <row r="868">
      <c r="A868" s="15" t="n"/>
      <c r="C868" s="16" t="n"/>
      <c r="D868" s="16" t="n"/>
      <c r="E868" s="17" t="n"/>
    </row>
    <row r="869">
      <c r="A869" s="15" t="n"/>
      <c r="C869" s="16" t="n"/>
      <c r="D869" s="16" t="n"/>
      <c r="E869" s="17" t="n"/>
    </row>
    <row r="870">
      <c r="A870" s="15" t="n"/>
      <c r="C870" s="16" t="n"/>
      <c r="D870" s="16" t="n"/>
      <c r="E870" s="17" t="n"/>
    </row>
    <row r="871">
      <c r="A871" s="15" t="n"/>
      <c r="C871" s="16" t="n"/>
      <c r="D871" s="16" t="n"/>
      <c r="E871" s="17" t="n"/>
    </row>
    <row r="872">
      <c r="A872" s="15" t="n"/>
      <c r="C872" s="16" t="n"/>
      <c r="D872" s="16" t="n"/>
      <c r="E872" s="17" t="n"/>
    </row>
    <row r="873">
      <c r="A873" s="15" t="n"/>
      <c r="C873" s="16" t="n"/>
      <c r="D873" s="16" t="n"/>
      <c r="E873" s="17" t="n"/>
    </row>
    <row r="874">
      <c r="A874" s="15" t="n"/>
      <c r="C874" s="16" t="n"/>
      <c r="D874" s="16" t="n"/>
      <c r="E874" s="17" t="n"/>
    </row>
    <row r="875">
      <c r="A875" s="15" t="n"/>
      <c r="C875" s="16" t="n"/>
      <c r="D875" s="16" t="n"/>
      <c r="E875" s="17" t="n"/>
    </row>
    <row r="876">
      <c r="A876" s="15" t="n"/>
      <c r="C876" s="16" t="n"/>
      <c r="D876" s="16" t="n"/>
      <c r="E876" s="17" t="n"/>
    </row>
    <row r="877">
      <c r="A877" s="15" t="n"/>
      <c r="C877" s="16" t="n"/>
      <c r="D877" s="16" t="n"/>
      <c r="E877" s="17" t="n"/>
    </row>
    <row r="878">
      <c r="A878" s="15" t="n"/>
      <c r="C878" s="16" t="n"/>
      <c r="D878" s="16" t="n"/>
      <c r="E878" s="17" t="n"/>
    </row>
    <row r="879">
      <c r="A879" s="15" t="n"/>
      <c r="C879" s="16" t="n"/>
      <c r="D879" s="16" t="n"/>
      <c r="E879" s="17" t="n"/>
    </row>
    <row r="880">
      <c r="A880" s="15" t="n"/>
      <c r="C880" s="16" t="n"/>
      <c r="D880" s="16" t="n"/>
      <c r="E880" s="17" t="n"/>
    </row>
    <row r="881">
      <c r="A881" s="15" t="n"/>
      <c r="C881" s="16" t="n"/>
      <c r="D881" s="16" t="n"/>
      <c r="E881" s="17" t="n"/>
    </row>
    <row r="882">
      <c r="A882" s="15" t="n"/>
      <c r="C882" s="16" t="n"/>
      <c r="D882" s="16" t="n"/>
      <c r="E882" s="17" t="n"/>
    </row>
    <row r="883">
      <c r="A883" s="15" t="n"/>
      <c r="C883" s="16" t="n"/>
      <c r="D883" s="16" t="n"/>
      <c r="E883" s="17" t="n"/>
    </row>
    <row r="884">
      <c r="A884" s="15" t="n"/>
      <c r="C884" s="16" t="n"/>
      <c r="D884" s="16" t="n"/>
      <c r="E884" s="17" t="n"/>
    </row>
    <row r="885">
      <c r="A885" s="15" t="n"/>
      <c r="C885" s="16" t="n"/>
      <c r="D885" s="16" t="n"/>
      <c r="E885" s="17" t="n"/>
    </row>
    <row r="886">
      <c r="A886" s="15" t="n"/>
      <c r="C886" s="16" t="n"/>
      <c r="D886" s="16" t="n"/>
      <c r="E886" s="17" t="n"/>
    </row>
    <row r="887">
      <c r="A887" s="15" t="n"/>
      <c r="C887" s="16" t="n"/>
      <c r="D887" s="16" t="n"/>
      <c r="E887" s="17" t="n"/>
    </row>
    <row r="888">
      <c r="A888" s="15" t="n"/>
      <c r="C888" s="16" t="n"/>
      <c r="D888" s="16" t="n"/>
      <c r="E888" s="17" t="n"/>
    </row>
    <row r="889">
      <c r="A889" s="15" t="n"/>
      <c r="C889" s="16" t="n"/>
      <c r="D889" s="16" t="n"/>
      <c r="E889" s="17" t="n"/>
    </row>
    <row r="890">
      <c r="A890" s="15" t="n"/>
      <c r="C890" s="16" t="n"/>
      <c r="D890" s="16" t="n"/>
      <c r="E890" s="17" t="n"/>
    </row>
    <row r="891">
      <c r="A891" s="15" t="n"/>
      <c r="C891" s="16" t="n"/>
      <c r="D891" s="16" t="n"/>
      <c r="E891" s="17" t="n"/>
    </row>
    <row r="892">
      <c r="A892" s="15" t="n"/>
      <c r="C892" s="16" t="n"/>
      <c r="D892" s="16" t="n"/>
      <c r="E892" s="17" t="n"/>
    </row>
    <row r="893">
      <c r="A893" s="15" t="n"/>
      <c r="C893" s="16" t="n"/>
      <c r="D893" s="16" t="n"/>
      <c r="E893" s="17" t="n"/>
    </row>
    <row r="894">
      <c r="A894" s="15" t="n"/>
      <c r="C894" s="16" t="n"/>
      <c r="D894" s="16" t="n"/>
      <c r="E894" s="17" t="n"/>
    </row>
    <row r="895">
      <c r="A895" s="15" t="n"/>
      <c r="C895" s="16" t="n"/>
      <c r="D895" s="16" t="n"/>
      <c r="E895" s="17" t="n"/>
    </row>
    <row r="896">
      <c r="A896" s="15" t="n"/>
      <c r="C896" s="16" t="n"/>
      <c r="D896" s="16" t="n"/>
      <c r="E896" s="17" t="n"/>
    </row>
    <row r="897">
      <c r="A897" s="15" t="n"/>
      <c r="C897" s="16" t="n"/>
      <c r="D897" s="16" t="n"/>
      <c r="E897" s="17" t="n"/>
    </row>
    <row r="898">
      <c r="A898" s="15" t="n"/>
      <c r="C898" s="16" t="n"/>
      <c r="D898" s="16" t="n"/>
      <c r="E898" s="17" t="n"/>
    </row>
    <row r="899">
      <c r="A899" s="15" t="n"/>
      <c r="C899" s="16" t="n"/>
      <c r="D899" s="16" t="n"/>
      <c r="E899" s="17" t="n"/>
    </row>
    <row r="900">
      <c r="A900" s="15" t="n"/>
      <c r="C900" s="16" t="n"/>
      <c r="D900" s="16" t="n"/>
      <c r="E900" s="17" t="n"/>
    </row>
    <row r="901">
      <c r="A901" s="15" t="n"/>
      <c r="C901" s="16" t="n"/>
      <c r="D901" s="16" t="n"/>
      <c r="E901" s="17" t="n"/>
    </row>
    <row r="902">
      <c r="A902" s="15" t="n"/>
      <c r="C902" s="16" t="n"/>
      <c r="D902" s="16" t="n"/>
      <c r="E902" s="17" t="n"/>
    </row>
    <row r="903">
      <c r="A903" s="15" t="n"/>
      <c r="C903" s="16" t="n"/>
      <c r="D903" s="16" t="n"/>
      <c r="E903" s="17" t="n"/>
    </row>
    <row r="904">
      <c r="A904" s="15" t="n"/>
      <c r="C904" s="16" t="n"/>
      <c r="D904" s="16" t="n"/>
      <c r="E904" s="17" t="n"/>
    </row>
    <row r="905">
      <c r="A905" s="15" t="n"/>
      <c r="C905" s="16" t="n"/>
      <c r="D905" s="16" t="n"/>
      <c r="E905" s="17" t="n"/>
    </row>
    <row r="906">
      <c r="A906" s="15" t="n"/>
      <c r="C906" s="16" t="n"/>
      <c r="D906" s="16" t="n"/>
      <c r="E906" s="17" t="n"/>
    </row>
    <row r="907">
      <c r="A907" s="15" t="n"/>
      <c r="C907" s="16" t="n"/>
      <c r="D907" s="16" t="n"/>
      <c r="E907" s="17" t="n"/>
    </row>
    <row r="908">
      <c r="A908" s="15" t="n"/>
      <c r="C908" s="16" t="n"/>
      <c r="D908" s="16" t="n"/>
      <c r="E908" s="17" t="n"/>
    </row>
    <row r="909">
      <c r="A909" s="15" t="n"/>
      <c r="C909" s="16" t="n"/>
      <c r="D909" s="16" t="n"/>
      <c r="E909" s="17" t="n"/>
    </row>
    <row r="910">
      <c r="A910" s="15" t="n"/>
      <c r="C910" s="16" t="n"/>
      <c r="D910" s="16" t="n"/>
      <c r="E910" s="17" t="n"/>
    </row>
    <row r="911">
      <c r="A911" s="15" t="n"/>
      <c r="C911" s="16" t="n"/>
      <c r="D911" s="16" t="n"/>
      <c r="E911" s="17" t="n"/>
    </row>
    <row r="912">
      <c r="A912" s="15" t="n"/>
      <c r="C912" s="16" t="n"/>
      <c r="D912" s="16" t="n"/>
      <c r="E912" s="17" t="n"/>
    </row>
    <row r="913">
      <c r="A913" s="15" t="n"/>
      <c r="C913" s="16" t="n"/>
      <c r="D913" s="16" t="n"/>
      <c r="E913" s="17" t="n"/>
    </row>
    <row r="914">
      <c r="A914" s="15" t="n"/>
      <c r="C914" s="16" t="n"/>
      <c r="D914" s="16" t="n"/>
      <c r="E914" s="17" t="n"/>
    </row>
    <row r="915">
      <c r="A915" s="15" t="n"/>
      <c r="C915" s="16" t="n"/>
      <c r="D915" s="16" t="n"/>
      <c r="E915" s="17" t="n"/>
    </row>
    <row r="916">
      <c r="A916" s="15" t="n"/>
      <c r="C916" s="16" t="n"/>
      <c r="D916" s="16" t="n"/>
      <c r="E916" s="17" t="n"/>
    </row>
    <row r="917">
      <c r="A917" s="15" t="n"/>
      <c r="C917" s="16" t="n"/>
      <c r="D917" s="16" t="n"/>
      <c r="E917" s="17" t="n"/>
    </row>
    <row r="918">
      <c r="A918" s="15" t="n"/>
      <c r="C918" s="16" t="n"/>
      <c r="D918" s="16" t="n"/>
      <c r="E918" s="17" t="n"/>
    </row>
    <row r="919">
      <c r="A919" s="15" t="n"/>
      <c r="C919" s="16" t="n"/>
      <c r="D919" s="16" t="n"/>
      <c r="E919" s="17" t="n"/>
    </row>
    <row r="920">
      <c r="A920" s="15" t="n"/>
      <c r="C920" s="16" t="n"/>
      <c r="D920" s="16" t="n"/>
      <c r="E920" s="17" t="n"/>
    </row>
    <row r="921">
      <c r="A921" s="15" t="n"/>
      <c r="C921" s="16" t="n"/>
      <c r="D921" s="16" t="n"/>
      <c r="E921" s="17" t="n"/>
    </row>
    <row r="922">
      <c r="A922" s="15" t="n"/>
      <c r="C922" s="16" t="n"/>
      <c r="D922" s="16" t="n"/>
      <c r="E922" s="17" t="n"/>
    </row>
    <row r="923">
      <c r="A923" s="15" t="n"/>
      <c r="C923" s="16" t="n"/>
      <c r="D923" s="16" t="n"/>
      <c r="E923" s="17" t="n"/>
    </row>
    <row r="924">
      <c r="A924" s="15" t="n"/>
      <c r="C924" s="16" t="n"/>
      <c r="D924" s="16" t="n"/>
      <c r="E924" s="17" t="n"/>
    </row>
    <row r="925">
      <c r="A925" s="15" t="n"/>
      <c r="C925" s="16" t="n"/>
      <c r="D925" s="16" t="n"/>
      <c r="E925" s="17" t="n"/>
    </row>
    <row r="926">
      <c r="A926" s="15" t="n"/>
      <c r="C926" s="16" t="n"/>
      <c r="D926" s="16" t="n"/>
      <c r="E926" s="17" t="n"/>
    </row>
    <row r="927">
      <c r="A927" s="15" t="n"/>
      <c r="C927" s="16" t="n"/>
      <c r="D927" s="16" t="n"/>
      <c r="E927" s="17" t="n"/>
    </row>
    <row r="928">
      <c r="A928" s="15" t="n"/>
      <c r="C928" s="16" t="n"/>
      <c r="D928" s="16" t="n"/>
      <c r="E928" s="17" t="n"/>
    </row>
    <row r="929">
      <c r="A929" s="15" t="n"/>
      <c r="C929" s="16" t="n"/>
      <c r="D929" s="16" t="n"/>
      <c r="E929" s="17" t="n"/>
    </row>
    <row r="930">
      <c r="A930" s="15" t="n"/>
      <c r="C930" s="16" t="n"/>
      <c r="D930" s="16" t="n"/>
      <c r="E930" s="17" t="n"/>
    </row>
    <row r="931">
      <c r="A931" s="15" t="n"/>
      <c r="C931" s="16" t="n"/>
      <c r="D931" s="16" t="n"/>
      <c r="E931" s="17" t="n"/>
    </row>
    <row r="932">
      <c r="A932" s="15" t="n"/>
      <c r="C932" s="16" t="n"/>
      <c r="D932" s="16" t="n"/>
      <c r="E932" s="17" t="n"/>
    </row>
    <row r="933">
      <c r="A933" s="15" t="n"/>
      <c r="C933" s="16" t="n"/>
      <c r="D933" s="16" t="n"/>
      <c r="E933" s="17" t="n"/>
    </row>
    <row r="934">
      <c r="A934" s="15" t="n"/>
      <c r="C934" s="16" t="n"/>
      <c r="D934" s="16" t="n"/>
      <c r="E934" s="17" t="n"/>
    </row>
    <row r="935">
      <c r="A935" s="15" t="n"/>
      <c r="C935" s="16" t="n"/>
      <c r="D935" s="16" t="n"/>
      <c r="E935" s="17" t="n"/>
    </row>
    <row r="936">
      <c r="A936" s="15" t="n"/>
      <c r="C936" s="16" t="n"/>
      <c r="D936" s="16" t="n"/>
      <c r="E936" s="17" t="n"/>
    </row>
    <row r="937">
      <c r="A937" s="15" t="n"/>
      <c r="C937" s="16" t="n"/>
      <c r="D937" s="16" t="n"/>
      <c r="E937" s="17" t="n"/>
    </row>
    <row r="938">
      <c r="A938" s="15" t="n"/>
      <c r="C938" s="16" t="n"/>
      <c r="D938" s="16" t="n"/>
      <c r="E938" s="17" t="n"/>
    </row>
    <row r="939">
      <c r="A939" s="15" t="n"/>
      <c r="C939" s="16" t="n"/>
      <c r="D939" s="16" t="n"/>
      <c r="E939" s="17" t="n"/>
    </row>
    <row r="940">
      <c r="A940" s="15" t="n"/>
      <c r="C940" s="16" t="n"/>
      <c r="D940" s="16" t="n"/>
      <c r="E940" s="17" t="n"/>
    </row>
    <row r="941">
      <c r="A941" s="15" t="n"/>
      <c r="C941" s="16" t="n"/>
      <c r="D941" s="16" t="n"/>
      <c r="E941" s="17" t="n"/>
    </row>
    <row r="942">
      <c r="A942" s="15" t="n"/>
      <c r="C942" s="16" t="n"/>
      <c r="D942" s="16" t="n"/>
      <c r="E942" s="17" t="n"/>
    </row>
    <row r="943">
      <c r="A943" s="15" t="n"/>
      <c r="C943" s="16" t="n"/>
      <c r="D943" s="16" t="n"/>
      <c r="E943" s="17" t="n"/>
    </row>
    <row r="944">
      <c r="A944" s="15" t="n"/>
      <c r="C944" s="16" t="n"/>
      <c r="D944" s="16" t="n"/>
      <c r="E944" s="17" t="n"/>
    </row>
    <row r="945">
      <c r="A945" s="15" t="n"/>
      <c r="C945" s="16" t="n"/>
      <c r="D945" s="16" t="n"/>
      <c r="E945" s="17" t="n"/>
    </row>
    <row r="946">
      <c r="A946" s="15" t="n"/>
      <c r="C946" s="16" t="n"/>
      <c r="D946" s="16" t="n"/>
      <c r="E946" s="17" t="n"/>
    </row>
    <row r="947">
      <c r="A947" s="15" t="n"/>
      <c r="C947" s="16" t="n"/>
      <c r="D947" s="16" t="n"/>
      <c r="E947" s="17" t="n"/>
    </row>
    <row r="948">
      <c r="A948" s="15" t="n"/>
      <c r="C948" s="16" t="n"/>
      <c r="D948" s="16" t="n"/>
      <c r="E948" s="17" t="n"/>
    </row>
    <row r="949">
      <c r="A949" s="15" t="n"/>
      <c r="C949" s="16" t="n"/>
      <c r="D949" s="16" t="n"/>
      <c r="E949" s="17" t="n"/>
    </row>
    <row r="950">
      <c r="A950" s="15" t="n"/>
      <c r="C950" s="16" t="n"/>
      <c r="D950" s="16" t="n"/>
      <c r="E950" s="17" t="n"/>
    </row>
    <row r="951">
      <c r="A951" s="15" t="n"/>
      <c r="C951" s="16" t="n"/>
      <c r="D951" s="16" t="n"/>
      <c r="E951" s="17" t="n"/>
    </row>
    <row r="952">
      <c r="A952" s="15" t="n"/>
      <c r="C952" s="16" t="n"/>
      <c r="D952" s="16" t="n"/>
      <c r="E952" s="17" t="n"/>
    </row>
    <row r="953">
      <c r="A953" s="15" t="n"/>
      <c r="C953" s="16" t="n"/>
      <c r="D953" s="16" t="n"/>
      <c r="E953" s="17" t="n"/>
    </row>
    <row r="954">
      <c r="A954" s="15" t="n"/>
      <c r="C954" s="16" t="n"/>
      <c r="D954" s="16" t="n"/>
      <c r="E954" s="17" t="n"/>
    </row>
    <row r="955">
      <c r="A955" s="15" t="n"/>
      <c r="C955" s="16" t="n"/>
      <c r="D955" s="16" t="n"/>
      <c r="E955" s="17" t="n"/>
    </row>
    <row r="956">
      <c r="A956" s="15" t="n"/>
      <c r="C956" s="16" t="n"/>
      <c r="D956" s="16" t="n"/>
      <c r="E956" s="17" t="n"/>
    </row>
    <row r="957">
      <c r="A957" s="15" t="n"/>
      <c r="C957" s="16" t="n"/>
      <c r="D957" s="16" t="n"/>
      <c r="E957" s="17" t="n"/>
    </row>
    <row r="958">
      <c r="A958" s="15" t="n"/>
      <c r="C958" s="16" t="n"/>
      <c r="D958" s="16" t="n"/>
      <c r="E958" s="17" t="n"/>
    </row>
    <row r="959">
      <c r="A959" s="15" t="n"/>
      <c r="C959" s="16" t="n"/>
      <c r="D959" s="16" t="n"/>
      <c r="E959" s="17" t="n"/>
    </row>
    <row r="960">
      <c r="A960" s="15" t="n"/>
      <c r="C960" s="16" t="n"/>
      <c r="D960" s="16" t="n"/>
      <c r="E960" s="17" t="n"/>
    </row>
    <row r="961">
      <c r="A961" s="15" t="n"/>
      <c r="C961" s="16" t="n"/>
      <c r="D961" s="16" t="n"/>
      <c r="E961" s="17" t="n"/>
    </row>
    <row r="962">
      <c r="A962" s="15" t="n"/>
      <c r="C962" s="16" t="n"/>
      <c r="D962" s="16" t="n"/>
      <c r="E962" s="17" t="n"/>
    </row>
    <row r="963">
      <c r="A963" s="15" t="n"/>
      <c r="C963" s="16" t="n"/>
      <c r="D963" s="16" t="n"/>
      <c r="E963" s="17" t="n"/>
    </row>
    <row r="964">
      <c r="A964" s="15" t="n"/>
      <c r="C964" s="16" t="n"/>
      <c r="D964" s="16" t="n"/>
      <c r="E964" s="17" t="n"/>
    </row>
    <row r="965">
      <c r="A965" s="15" t="n"/>
      <c r="C965" s="16" t="n"/>
      <c r="D965" s="16" t="n"/>
      <c r="E965" s="17" t="n"/>
    </row>
    <row r="966">
      <c r="A966" s="15" t="n"/>
      <c r="C966" s="16" t="n"/>
      <c r="D966" s="16" t="n"/>
      <c r="E966" s="17" t="n"/>
    </row>
    <row r="967">
      <c r="A967" s="15" t="n"/>
      <c r="C967" s="16" t="n"/>
      <c r="D967" s="16" t="n"/>
      <c r="E967" s="17" t="n"/>
    </row>
    <row r="968">
      <c r="A968" s="15" t="n"/>
      <c r="C968" s="16" t="n"/>
      <c r="D968" s="16" t="n"/>
      <c r="E968" s="17" t="n"/>
    </row>
    <row r="969">
      <c r="A969" s="15" t="n"/>
      <c r="C969" s="16" t="n"/>
      <c r="D969" s="16" t="n"/>
      <c r="E969" s="17" t="n"/>
    </row>
    <row r="970">
      <c r="A970" s="15" t="n"/>
      <c r="C970" s="16" t="n"/>
      <c r="D970" s="16" t="n"/>
      <c r="E970" s="17" t="n"/>
    </row>
    <row r="971">
      <c r="A971" s="15" t="n"/>
      <c r="C971" s="16" t="n"/>
      <c r="D971" s="16" t="n"/>
      <c r="E971" s="17" t="n"/>
    </row>
    <row r="972">
      <c r="A972" s="15" t="n"/>
      <c r="C972" s="16" t="n"/>
      <c r="D972" s="16" t="n"/>
      <c r="E972" s="17" t="n"/>
    </row>
    <row r="973">
      <c r="A973" s="15" t="n"/>
      <c r="C973" s="16" t="n"/>
      <c r="D973" s="16" t="n"/>
      <c r="E973" s="17" t="n"/>
    </row>
    <row r="974">
      <c r="A974" s="15" t="n"/>
      <c r="C974" s="16" t="n"/>
      <c r="D974" s="16" t="n"/>
      <c r="E974" s="17" t="n"/>
    </row>
    <row r="975">
      <c r="A975" s="15" t="n"/>
      <c r="C975" s="16" t="n"/>
      <c r="D975" s="16" t="n"/>
      <c r="E975" s="17" t="n"/>
    </row>
    <row r="976">
      <c r="A976" s="15" t="n"/>
      <c r="C976" s="16" t="n"/>
      <c r="D976" s="16" t="n"/>
      <c r="E976" s="17" t="n"/>
    </row>
    <row r="977">
      <c r="A977" s="15" t="n"/>
      <c r="C977" s="16" t="n"/>
      <c r="D977" s="16" t="n"/>
      <c r="E977" s="17" t="n"/>
    </row>
    <row r="978">
      <c r="A978" s="15" t="n"/>
      <c r="C978" s="16" t="n"/>
      <c r="D978" s="16" t="n"/>
      <c r="E978" s="17" t="n"/>
    </row>
    <row r="979">
      <c r="A979" s="15" t="n"/>
      <c r="C979" s="16" t="n"/>
      <c r="D979" s="16" t="n"/>
      <c r="E979" s="17" t="n"/>
    </row>
    <row r="980">
      <c r="A980" s="15" t="n"/>
      <c r="C980" s="16" t="n"/>
      <c r="D980" s="16" t="n"/>
      <c r="E980" s="17" t="n"/>
    </row>
    <row r="981">
      <c r="A981" s="15" t="n"/>
      <c r="C981" s="16" t="n"/>
      <c r="D981" s="16" t="n"/>
      <c r="E981" s="17" t="n"/>
    </row>
    <row r="982">
      <c r="A982" s="15" t="n"/>
      <c r="C982" s="16" t="n"/>
      <c r="D982" s="16" t="n"/>
      <c r="E982" s="17" t="n"/>
    </row>
    <row r="983">
      <c r="A983" s="15" t="n"/>
      <c r="C983" s="16" t="n"/>
      <c r="D983" s="16" t="n"/>
      <c r="E983" s="17" t="n"/>
    </row>
    <row r="984">
      <c r="A984" s="15" t="n"/>
      <c r="C984" s="16" t="n"/>
      <c r="D984" s="16" t="n"/>
      <c r="E984" s="17" t="n"/>
    </row>
    <row r="985">
      <c r="A985" s="15" t="n"/>
      <c r="C985" s="16" t="n"/>
      <c r="D985" s="16" t="n"/>
      <c r="E985" s="17" t="n"/>
    </row>
    <row r="986">
      <c r="A986" s="15" t="n"/>
      <c r="C986" s="16" t="n"/>
      <c r="D986" s="16" t="n"/>
      <c r="E986" s="17" t="n"/>
    </row>
    <row r="987">
      <c r="A987" s="15" t="n"/>
      <c r="C987" s="16" t="n"/>
      <c r="D987" s="16" t="n"/>
      <c r="E987" s="17" t="n"/>
    </row>
    <row r="988">
      <c r="A988" s="15" t="n"/>
      <c r="C988" s="16" t="n"/>
      <c r="D988" s="16" t="n"/>
      <c r="E988" s="17" t="n"/>
    </row>
    <row r="989">
      <c r="A989" s="15" t="n"/>
      <c r="C989" s="16" t="n"/>
      <c r="D989" s="16" t="n"/>
      <c r="E989" s="17" t="n"/>
    </row>
    <row r="990">
      <c r="A990" s="15" t="n"/>
      <c r="C990" s="16" t="n"/>
      <c r="D990" s="16" t="n"/>
      <c r="E990" s="17" t="n"/>
    </row>
    <row r="991">
      <c r="A991" s="15" t="n"/>
      <c r="C991" s="16" t="n"/>
      <c r="D991" s="16" t="n"/>
      <c r="E991" s="17" t="n"/>
    </row>
    <row r="992">
      <c r="A992" s="15" t="n"/>
      <c r="C992" s="16" t="n"/>
      <c r="D992" s="16" t="n"/>
      <c r="E992" s="17" t="n"/>
    </row>
    <row r="993">
      <c r="A993" s="15" t="n"/>
      <c r="C993" s="16" t="n"/>
      <c r="D993" s="16" t="n"/>
      <c r="E993" s="17" t="n"/>
    </row>
    <row r="994">
      <c r="A994" s="15" t="n"/>
      <c r="C994" s="16" t="n"/>
      <c r="D994" s="16" t="n"/>
      <c r="E994" s="17" t="n"/>
    </row>
    <row r="995">
      <c r="A995" s="15" t="n"/>
      <c r="C995" s="16" t="n"/>
      <c r="D995" s="16" t="n"/>
      <c r="E995" s="17" t="n"/>
    </row>
    <row r="996">
      <c r="A996" s="15" t="n"/>
      <c r="C996" s="16" t="n"/>
      <c r="D996" s="16" t="n"/>
      <c r="E996" s="17" t="n"/>
    </row>
    <row r="997">
      <c r="A997" s="15" t="n"/>
      <c r="C997" s="16" t="n"/>
      <c r="D997" s="16" t="n"/>
      <c r="E997" s="17" t="n"/>
    </row>
    <row r="998">
      <c r="A998" s="15" t="n"/>
      <c r="C998" s="16" t="n"/>
      <c r="D998" s="16" t="n"/>
      <c r="E998" s="17" t="n"/>
    </row>
    <row r="999">
      <c r="A999" s="15" t="n"/>
      <c r="C999" s="16" t="n"/>
      <c r="D999" s="16" t="n"/>
      <c r="E999" s="17" t="n"/>
    </row>
    <row r="1000">
      <c r="A1000" s="15" t="n"/>
      <c r="C1000" s="16" t="n"/>
      <c r="D1000" s="16" t="n"/>
      <c r="E1000" s="17" t="n"/>
    </row>
    <row r="1001">
      <c r="A1001" s="15" t="n"/>
      <c r="C1001" s="16" t="n"/>
      <c r="D1001" s="16" t="n"/>
      <c r="E1001" s="17" t="n"/>
    </row>
    <row r="1002">
      <c r="A1002" s="15" t="n"/>
      <c r="C1002" s="16" t="n"/>
      <c r="D1002" s="16" t="n"/>
      <c r="E1002" s="17" t="n"/>
    </row>
  </sheetData>
  <conditionalFormatting sqref="E3:E1002">
    <cfRule type="expression" priority="1" dxfId="0">
      <formula>=$E3="Active"</formula>
    </cfRule>
    <cfRule type="expression" priority="2" dxfId="1">
      <formula>=$E3="Upcoming"</formula>
    </cfRule>
    <cfRule type="expression" priority="3" dxfId="2">
      <formula>=$E3="Completed"</formula>
    </cfRule>
    <cfRule type="expression" priority="4" dxfId="3">
      <formula>=$E3="Undated"</formula>
    </cfRule>
  </conditionalFormatting>
  <conditionalFormatting sqref="F3:M1002">
    <cfRule type="expression" priority="5" dxfId="0">
      <formula>=AND($C3&lt;&gt;"",$C3&lt;=EOMONTH(F$2,2),IF($D3="",$C3,$D3)&gt;=F$2,$E3="Active")</formula>
    </cfRule>
    <cfRule type="expression" priority="6" dxfId="1">
      <formula>=AND($C3&lt;&gt;"",$C3&lt;=EOMONTH(F$2,2),IF($D3="",$C3,$D3)&gt;=F$2,$E3="Upcoming")</formula>
    </cfRule>
    <cfRule type="expression" priority="7" dxfId="2">
      <formula>=AND($C3&lt;&gt;"",$C3&lt;=EOMONTH(F$2,2),IF($D3="",$C3,$D3)&gt;=F$2,$E3="Completed")</formula>
    </cfRule>
    <cfRule type="expression" priority="8" dxfId="3">
      <formula>=AND($C3&lt;&gt;"",$C3&lt;=EOMONTH(F$2,2),IF($D3="",$C3,$D3)&gt;=F$2,$E3="Undated")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4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Project Name</t>
        </is>
      </c>
      <c r="B1" s="1" t="inlineStr">
        <is>
          <t>Project Impact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Project Owner</t>
        </is>
      </c>
      <c r="F1" s="1" t="inlineStr">
        <is>
          <t>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2026-09-21T12:19:23Z</dcterms:created>
  <dcterms:modified xmlns:dcterms="http://purl.org/dc/terms/" xmlns:xsi="http://www.w3.org/2001/XMLSchema-instance" xsi:type="dcterms:W3CDTF">2026-09-21T12:19:23Z</dcterms:modified>
</cp:coreProperties>
</file>